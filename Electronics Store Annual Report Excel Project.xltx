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328"/>
  <workbookPr hidePivotFieldList="1" refreshAllConnections="1" defaultThemeVersion="124226"/>
  <mc:AlternateContent xmlns:mc="http://schemas.openxmlformats.org/markup-compatibility/2006">
    <mc:Choice Requires="x15">
      <x15ac:absPath xmlns:x15ac="http://schemas.microsoft.com/office/spreadsheetml/2010/11/ac" url="https://d.docs.live.net/a5ecc4a8b1ac26c0/Documents/Custom Office Templates/"/>
    </mc:Choice>
  </mc:AlternateContent>
  <xr:revisionPtr revIDLastSave="0" documentId="8_{6224ECB5-C7DD-428B-AFE5-18E3D5433997}" xr6:coauthVersionLast="47" xr6:coauthVersionMax="47" xr10:uidLastSave="{00000000-0000-0000-0000-000000000000}"/>
  <bookViews>
    <workbookView xWindow="-108" yWindow="-108" windowWidth="23256" windowHeight="12456" xr2:uid="{00000000-000D-0000-FFFF-FFFF00000000}"/>
  </bookViews>
  <sheets>
    <sheet name="dashboard" sheetId="4" r:id="rId1"/>
    <sheet name="Sheet6" sheetId="7" r:id="rId2"/>
    <sheet name="Sheet5" sheetId="5" r:id="rId3"/>
    <sheet name="Sheet7" sheetId="8" r:id="rId4"/>
    <sheet name="Sheet8" sheetId="9" r:id="rId5"/>
    <sheet name="Sheet9" sheetId="10" r:id="rId6"/>
    <sheet name="Sheet10" sheetId="11" r:id="rId7"/>
    <sheet name="Sheet1" sheetId="1" r:id="rId8"/>
  </sheets>
  <definedNames>
    <definedName name="Slicer_Channel1">#N/A</definedName>
    <definedName name="Slicer_Month">#N/A</definedName>
    <definedName name="Slicer_Product1">#N/A</definedName>
  </definedNames>
  <calcPr calcId="191029"/>
  <pivotCaches>
    <pivotCache cacheId="0"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 i="1" l="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3" i="1"/>
  <c r="E2" i="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2" i="1"/>
</calcChain>
</file>

<file path=xl/sharedStrings.xml><?xml version="1.0" encoding="utf-8"?>
<sst xmlns="http://schemas.openxmlformats.org/spreadsheetml/2006/main" count="4061" uniqueCount="1219">
  <si>
    <t>Order ID</t>
  </si>
  <si>
    <t>Customer ID</t>
  </si>
  <si>
    <t>Customer Name</t>
  </si>
  <si>
    <t>Age</t>
  </si>
  <si>
    <t>Gender</t>
  </si>
  <si>
    <t>City</t>
  </si>
  <si>
    <t>State</t>
  </si>
  <si>
    <t>Product</t>
  </si>
  <si>
    <t>Channel</t>
  </si>
  <si>
    <t>Date</t>
  </si>
  <si>
    <t>Quantity</t>
  </si>
  <si>
    <t>Total Spent</t>
  </si>
  <si>
    <t>ORD1000</t>
  </si>
  <si>
    <t>ORD1001</t>
  </si>
  <si>
    <t>ORD1002</t>
  </si>
  <si>
    <t>ORD1003</t>
  </si>
  <si>
    <t>ORD1004</t>
  </si>
  <si>
    <t>ORD1005</t>
  </si>
  <si>
    <t>ORD1006</t>
  </si>
  <si>
    <t>ORD1007</t>
  </si>
  <si>
    <t>ORD1008</t>
  </si>
  <si>
    <t>ORD1009</t>
  </si>
  <si>
    <t>ORD1010</t>
  </si>
  <si>
    <t>ORD1011</t>
  </si>
  <si>
    <t>ORD1012</t>
  </si>
  <si>
    <t>ORD1013</t>
  </si>
  <si>
    <t>ORD1014</t>
  </si>
  <si>
    <t>ORD1015</t>
  </si>
  <si>
    <t>ORD1016</t>
  </si>
  <si>
    <t>ORD1017</t>
  </si>
  <si>
    <t>ORD1018</t>
  </si>
  <si>
    <t>ORD1019</t>
  </si>
  <si>
    <t>ORD1020</t>
  </si>
  <si>
    <t>ORD1021</t>
  </si>
  <si>
    <t>ORD1022</t>
  </si>
  <si>
    <t>ORD1023</t>
  </si>
  <si>
    <t>ORD1024</t>
  </si>
  <si>
    <t>ORD1025</t>
  </si>
  <si>
    <t>ORD1026</t>
  </si>
  <si>
    <t>ORD1027</t>
  </si>
  <si>
    <t>ORD1028</t>
  </si>
  <si>
    <t>ORD1029</t>
  </si>
  <si>
    <t>ORD1030</t>
  </si>
  <si>
    <t>ORD1031</t>
  </si>
  <si>
    <t>ORD1032</t>
  </si>
  <si>
    <t>ORD1033</t>
  </si>
  <si>
    <t>ORD1034</t>
  </si>
  <si>
    <t>ORD1035</t>
  </si>
  <si>
    <t>ORD1036</t>
  </si>
  <si>
    <t>ORD1037</t>
  </si>
  <si>
    <t>ORD1038</t>
  </si>
  <si>
    <t>ORD1039</t>
  </si>
  <si>
    <t>ORD1040</t>
  </si>
  <si>
    <t>ORD1041</t>
  </si>
  <si>
    <t>ORD1042</t>
  </si>
  <si>
    <t>ORD1043</t>
  </si>
  <si>
    <t>ORD1044</t>
  </si>
  <si>
    <t>ORD1045</t>
  </si>
  <si>
    <t>ORD1046</t>
  </si>
  <si>
    <t>ORD1047</t>
  </si>
  <si>
    <t>ORD1048</t>
  </si>
  <si>
    <t>ORD1049</t>
  </si>
  <si>
    <t>ORD1050</t>
  </si>
  <si>
    <t>ORD1051</t>
  </si>
  <si>
    <t>ORD1052</t>
  </si>
  <si>
    <t>ORD1053</t>
  </si>
  <si>
    <t>ORD1054</t>
  </si>
  <si>
    <t>ORD1055</t>
  </si>
  <si>
    <t>ORD1056</t>
  </si>
  <si>
    <t>ORD1057</t>
  </si>
  <si>
    <t>ORD1058</t>
  </si>
  <si>
    <t>ORD1059</t>
  </si>
  <si>
    <t>ORD1060</t>
  </si>
  <si>
    <t>ORD1061</t>
  </si>
  <si>
    <t>ORD1062</t>
  </si>
  <si>
    <t>ORD1063</t>
  </si>
  <si>
    <t>ORD1064</t>
  </si>
  <si>
    <t>ORD1065</t>
  </si>
  <si>
    <t>ORD1066</t>
  </si>
  <si>
    <t>ORD1067</t>
  </si>
  <si>
    <t>ORD1068</t>
  </si>
  <si>
    <t>ORD1069</t>
  </si>
  <si>
    <t>ORD1070</t>
  </si>
  <si>
    <t>ORD1071</t>
  </si>
  <si>
    <t>ORD1072</t>
  </si>
  <si>
    <t>ORD1073</t>
  </si>
  <si>
    <t>ORD1074</t>
  </si>
  <si>
    <t>ORD1075</t>
  </si>
  <si>
    <t>ORD1076</t>
  </si>
  <si>
    <t>ORD1077</t>
  </si>
  <si>
    <t>ORD1078</t>
  </si>
  <si>
    <t>ORD1079</t>
  </si>
  <si>
    <t>ORD1080</t>
  </si>
  <si>
    <t>ORD1081</t>
  </si>
  <si>
    <t>ORD1082</t>
  </si>
  <si>
    <t>ORD1083</t>
  </si>
  <si>
    <t>ORD1084</t>
  </si>
  <si>
    <t>ORD1085</t>
  </si>
  <si>
    <t>ORD1086</t>
  </si>
  <si>
    <t>ORD1087</t>
  </si>
  <si>
    <t>ORD1088</t>
  </si>
  <si>
    <t>ORD1089</t>
  </si>
  <si>
    <t>ORD1090</t>
  </si>
  <si>
    <t>ORD1091</t>
  </si>
  <si>
    <t>ORD1092</t>
  </si>
  <si>
    <t>ORD1093</t>
  </si>
  <si>
    <t>ORD1094</t>
  </si>
  <si>
    <t>ORD1095</t>
  </si>
  <si>
    <t>ORD1096</t>
  </si>
  <si>
    <t>ORD1097</t>
  </si>
  <si>
    <t>ORD1098</t>
  </si>
  <si>
    <t>ORD1099</t>
  </si>
  <si>
    <t>ORD1100</t>
  </si>
  <si>
    <t>ORD1101</t>
  </si>
  <si>
    <t>ORD1102</t>
  </si>
  <si>
    <t>ORD1103</t>
  </si>
  <si>
    <t>ORD1104</t>
  </si>
  <si>
    <t>ORD1105</t>
  </si>
  <si>
    <t>ORD1106</t>
  </si>
  <si>
    <t>ORD1107</t>
  </si>
  <si>
    <t>ORD1108</t>
  </si>
  <si>
    <t>ORD1109</t>
  </si>
  <si>
    <t>ORD1110</t>
  </si>
  <si>
    <t>ORD1111</t>
  </si>
  <si>
    <t>ORD1112</t>
  </si>
  <si>
    <t>ORD1113</t>
  </si>
  <si>
    <t>ORD1114</t>
  </si>
  <si>
    <t>ORD1115</t>
  </si>
  <si>
    <t>ORD1116</t>
  </si>
  <si>
    <t>ORD1117</t>
  </si>
  <si>
    <t>ORD1118</t>
  </si>
  <si>
    <t>ORD1119</t>
  </si>
  <si>
    <t>ORD1120</t>
  </si>
  <si>
    <t>ORD1121</t>
  </si>
  <si>
    <t>ORD1122</t>
  </si>
  <si>
    <t>ORD1123</t>
  </si>
  <si>
    <t>ORD1124</t>
  </si>
  <si>
    <t>ORD1125</t>
  </si>
  <si>
    <t>ORD1126</t>
  </si>
  <si>
    <t>ORD1127</t>
  </si>
  <si>
    <t>ORD1128</t>
  </si>
  <si>
    <t>ORD1129</t>
  </si>
  <si>
    <t>ORD1130</t>
  </si>
  <si>
    <t>ORD1131</t>
  </si>
  <si>
    <t>ORD1132</t>
  </si>
  <si>
    <t>ORD1133</t>
  </si>
  <si>
    <t>ORD1134</t>
  </si>
  <si>
    <t>ORD1135</t>
  </si>
  <si>
    <t>ORD1136</t>
  </si>
  <si>
    <t>ORD1137</t>
  </si>
  <si>
    <t>ORD1138</t>
  </si>
  <si>
    <t>ORD1139</t>
  </si>
  <si>
    <t>ORD1140</t>
  </si>
  <si>
    <t>ORD1141</t>
  </si>
  <si>
    <t>ORD1142</t>
  </si>
  <si>
    <t>ORD1143</t>
  </si>
  <si>
    <t>ORD1144</t>
  </si>
  <si>
    <t>ORD1145</t>
  </si>
  <si>
    <t>ORD1146</t>
  </si>
  <si>
    <t>ORD1147</t>
  </si>
  <si>
    <t>ORD1148</t>
  </si>
  <si>
    <t>ORD1149</t>
  </si>
  <si>
    <t>ORD1150</t>
  </si>
  <si>
    <t>ORD1151</t>
  </si>
  <si>
    <t>ORD1152</t>
  </si>
  <si>
    <t>ORD1153</t>
  </si>
  <si>
    <t>ORD1154</t>
  </si>
  <si>
    <t>ORD1155</t>
  </si>
  <si>
    <t>ORD1156</t>
  </si>
  <si>
    <t>ORD1157</t>
  </si>
  <si>
    <t>ORD1158</t>
  </si>
  <si>
    <t>ORD1159</t>
  </si>
  <si>
    <t>ORD1160</t>
  </si>
  <si>
    <t>ORD1161</t>
  </si>
  <si>
    <t>ORD1162</t>
  </si>
  <si>
    <t>ORD1163</t>
  </si>
  <si>
    <t>ORD1164</t>
  </si>
  <si>
    <t>ORD1165</t>
  </si>
  <si>
    <t>ORD1166</t>
  </si>
  <si>
    <t>ORD1167</t>
  </si>
  <si>
    <t>ORD1168</t>
  </si>
  <si>
    <t>ORD1169</t>
  </si>
  <si>
    <t>ORD1170</t>
  </si>
  <si>
    <t>ORD1171</t>
  </si>
  <si>
    <t>ORD1172</t>
  </si>
  <si>
    <t>ORD1173</t>
  </si>
  <si>
    <t>ORD1174</t>
  </si>
  <si>
    <t>ORD1175</t>
  </si>
  <si>
    <t>ORD1176</t>
  </si>
  <si>
    <t>ORD1177</t>
  </si>
  <si>
    <t>ORD1178</t>
  </si>
  <si>
    <t>ORD1179</t>
  </si>
  <si>
    <t>ORD1180</t>
  </si>
  <si>
    <t>ORD1181</t>
  </si>
  <si>
    <t>ORD1182</t>
  </si>
  <si>
    <t>ORD1183</t>
  </si>
  <si>
    <t>ORD1184</t>
  </si>
  <si>
    <t>ORD1185</t>
  </si>
  <si>
    <t>ORD1186</t>
  </si>
  <si>
    <t>ORD1187</t>
  </si>
  <si>
    <t>ORD1188</t>
  </si>
  <si>
    <t>ORD1189</t>
  </si>
  <si>
    <t>ORD1190</t>
  </si>
  <si>
    <t>ORD1191</t>
  </si>
  <si>
    <t>ORD1192</t>
  </si>
  <si>
    <t>ORD1193</t>
  </si>
  <si>
    <t>ORD1194</t>
  </si>
  <si>
    <t>ORD1195</t>
  </si>
  <si>
    <t>ORD1196</t>
  </si>
  <si>
    <t>ORD1197</t>
  </si>
  <si>
    <t>ORD1198</t>
  </si>
  <si>
    <t>ORD1199</t>
  </si>
  <si>
    <t>ORD1200</t>
  </si>
  <si>
    <t>ORD1201</t>
  </si>
  <si>
    <t>ORD1202</t>
  </si>
  <si>
    <t>ORD1203</t>
  </si>
  <si>
    <t>ORD1204</t>
  </si>
  <si>
    <t>ORD1205</t>
  </si>
  <si>
    <t>ORD1206</t>
  </si>
  <si>
    <t>ORD1207</t>
  </si>
  <si>
    <t>ORD1208</t>
  </si>
  <si>
    <t>ORD1209</t>
  </si>
  <si>
    <t>ORD1210</t>
  </si>
  <si>
    <t>ORD1211</t>
  </si>
  <si>
    <t>ORD1212</t>
  </si>
  <si>
    <t>ORD1213</t>
  </si>
  <si>
    <t>ORD1214</t>
  </si>
  <si>
    <t>ORD1215</t>
  </si>
  <si>
    <t>ORD1216</t>
  </si>
  <si>
    <t>ORD1217</t>
  </si>
  <si>
    <t>ORD1218</t>
  </si>
  <si>
    <t>ORD1219</t>
  </si>
  <si>
    <t>ORD1220</t>
  </si>
  <si>
    <t>ORD1221</t>
  </si>
  <si>
    <t>ORD1222</t>
  </si>
  <si>
    <t>ORD1223</t>
  </si>
  <si>
    <t>ORD1224</t>
  </si>
  <si>
    <t>ORD1225</t>
  </si>
  <si>
    <t>ORD1226</t>
  </si>
  <si>
    <t>ORD1227</t>
  </si>
  <si>
    <t>ORD1228</t>
  </si>
  <si>
    <t>ORD1229</t>
  </si>
  <si>
    <t>ORD1230</t>
  </si>
  <si>
    <t>ORD1231</t>
  </si>
  <si>
    <t>ORD1232</t>
  </si>
  <si>
    <t>ORD1233</t>
  </si>
  <si>
    <t>ORD1234</t>
  </si>
  <si>
    <t>ORD1235</t>
  </si>
  <si>
    <t>ORD1236</t>
  </si>
  <si>
    <t>ORD1237</t>
  </si>
  <si>
    <t>ORD1238</t>
  </si>
  <si>
    <t>ORD1239</t>
  </si>
  <si>
    <t>ORD1240</t>
  </si>
  <si>
    <t>ORD1241</t>
  </si>
  <si>
    <t>ORD1242</t>
  </si>
  <si>
    <t>ORD1243</t>
  </si>
  <si>
    <t>ORD1244</t>
  </si>
  <si>
    <t>ORD1245</t>
  </si>
  <si>
    <t>ORD1246</t>
  </si>
  <si>
    <t>ORD1247</t>
  </si>
  <si>
    <t>ORD1248</t>
  </si>
  <si>
    <t>ORD1249</t>
  </si>
  <si>
    <t>ORD1250</t>
  </si>
  <si>
    <t>ORD1251</t>
  </si>
  <si>
    <t>ORD1252</t>
  </si>
  <si>
    <t>ORD1253</t>
  </si>
  <si>
    <t>ORD1254</t>
  </si>
  <si>
    <t>ORD1255</t>
  </si>
  <si>
    <t>ORD1256</t>
  </si>
  <si>
    <t>ORD1257</t>
  </si>
  <si>
    <t>ORD1258</t>
  </si>
  <si>
    <t>ORD1259</t>
  </si>
  <si>
    <t>ORD1260</t>
  </si>
  <si>
    <t>ORD1261</t>
  </si>
  <si>
    <t>ORD1262</t>
  </si>
  <si>
    <t>ORD1263</t>
  </si>
  <si>
    <t>ORD1264</t>
  </si>
  <si>
    <t>ORD1265</t>
  </si>
  <si>
    <t>ORD1266</t>
  </si>
  <si>
    <t>ORD1267</t>
  </si>
  <si>
    <t>ORD1268</t>
  </si>
  <si>
    <t>ORD1269</t>
  </si>
  <si>
    <t>ORD1270</t>
  </si>
  <si>
    <t>ORD1271</t>
  </si>
  <si>
    <t>ORD1272</t>
  </si>
  <si>
    <t>ORD1273</t>
  </si>
  <si>
    <t>ORD1274</t>
  </si>
  <si>
    <t>ORD1275</t>
  </si>
  <si>
    <t>ORD1276</t>
  </si>
  <si>
    <t>ORD1277</t>
  </si>
  <si>
    <t>ORD1278</t>
  </si>
  <si>
    <t>ORD1279</t>
  </si>
  <si>
    <t>ORD1280</t>
  </si>
  <si>
    <t>ORD1281</t>
  </si>
  <si>
    <t>ORD1282</t>
  </si>
  <si>
    <t>ORD1283</t>
  </si>
  <si>
    <t>ORD1284</t>
  </si>
  <si>
    <t>ORD1285</t>
  </si>
  <si>
    <t>ORD1286</t>
  </si>
  <si>
    <t>ORD1287</t>
  </si>
  <si>
    <t>ORD1288</t>
  </si>
  <si>
    <t>ORD1289</t>
  </si>
  <si>
    <t>ORD1290</t>
  </si>
  <si>
    <t>ORD1291</t>
  </si>
  <si>
    <t>ORD1292</t>
  </si>
  <si>
    <t>ORD1293</t>
  </si>
  <si>
    <t>ORD1294</t>
  </si>
  <si>
    <t>ORD1295</t>
  </si>
  <si>
    <t>ORD1296</t>
  </si>
  <si>
    <t>ORD1297</t>
  </si>
  <si>
    <t>ORD1298</t>
  </si>
  <si>
    <t>ORD1299</t>
  </si>
  <si>
    <t>ORD1300</t>
  </si>
  <si>
    <t>ORD1301</t>
  </si>
  <si>
    <t>ORD1302</t>
  </si>
  <si>
    <t>ORD1303</t>
  </si>
  <si>
    <t>ORD1304</t>
  </si>
  <si>
    <t>ORD1305</t>
  </si>
  <si>
    <t>ORD1306</t>
  </si>
  <si>
    <t>ORD1307</t>
  </si>
  <si>
    <t>ORD1308</t>
  </si>
  <si>
    <t>ORD1309</t>
  </si>
  <si>
    <t>ORD1310</t>
  </si>
  <si>
    <t>ORD1311</t>
  </si>
  <si>
    <t>ORD1312</t>
  </si>
  <si>
    <t>ORD1313</t>
  </si>
  <si>
    <t>ORD1314</t>
  </si>
  <si>
    <t>ORD1315</t>
  </si>
  <si>
    <t>ORD1316</t>
  </si>
  <si>
    <t>ORD1317</t>
  </si>
  <si>
    <t>ORD1318</t>
  </si>
  <si>
    <t>ORD1319</t>
  </si>
  <si>
    <t>ORD1320</t>
  </si>
  <si>
    <t>ORD1321</t>
  </si>
  <si>
    <t>ORD1322</t>
  </si>
  <si>
    <t>ORD1323</t>
  </si>
  <si>
    <t>ORD1324</t>
  </si>
  <si>
    <t>ORD1325</t>
  </si>
  <si>
    <t>ORD1326</t>
  </si>
  <si>
    <t>ORD1327</t>
  </si>
  <si>
    <t>ORD1328</t>
  </si>
  <si>
    <t>ORD1329</t>
  </si>
  <si>
    <t>ORD1330</t>
  </si>
  <si>
    <t>ORD1331</t>
  </si>
  <si>
    <t>ORD1332</t>
  </si>
  <si>
    <t>ORD1333</t>
  </si>
  <si>
    <t>ORD1334</t>
  </si>
  <si>
    <t>ORD1335</t>
  </si>
  <si>
    <t>ORD1336</t>
  </si>
  <si>
    <t>ORD1337</t>
  </si>
  <si>
    <t>ORD1338</t>
  </si>
  <si>
    <t>ORD1339</t>
  </si>
  <si>
    <t>ORD1340</t>
  </si>
  <si>
    <t>ORD1341</t>
  </si>
  <si>
    <t>ORD1342</t>
  </si>
  <si>
    <t>ORD1343</t>
  </si>
  <si>
    <t>ORD1344</t>
  </si>
  <si>
    <t>ORD1345</t>
  </si>
  <si>
    <t>ORD1346</t>
  </si>
  <si>
    <t>ORD1347</t>
  </si>
  <si>
    <t>ORD1348</t>
  </si>
  <si>
    <t>ORD1349</t>
  </si>
  <si>
    <t>ORD1350</t>
  </si>
  <si>
    <t>ORD1351</t>
  </si>
  <si>
    <t>ORD1352</t>
  </si>
  <si>
    <t>ORD1353</t>
  </si>
  <si>
    <t>ORD1354</t>
  </si>
  <si>
    <t>ORD1355</t>
  </si>
  <si>
    <t>ORD1356</t>
  </si>
  <si>
    <t>ORD1357</t>
  </si>
  <si>
    <t>ORD1358</t>
  </si>
  <si>
    <t>ORD1359</t>
  </si>
  <si>
    <t>ORD1360</t>
  </si>
  <si>
    <t>ORD1361</t>
  </si>
  <si>
    <t>ORD1362</t>
  </si>
  <si>
    <t>ORD1363</t>
  </si>
  <si>
    <t>ORD1364</t>
  </si>
  <si>
    <t>ORD1365</t>
  </si>
  <si>
    <t>ORD1366</t>
  </si>
  <si>
    <t>ORD1367</t>
  </si>
  <si>
    <t>ORD1368</t>
  </si>
  <si>
    <t>ORD1369</t>
  </si>
  <si>
    <t>ORD1370</t>
  </si>
  <si>
    <t>ORD1371</t>
  </si>
  <si>
    <t>ORD1372</t>
  </si>
  <si>
    <t>ORD1373</t>
  </si>
  <si>
    <t>ORD1374</t>
  </si>
  <si>
    <t>ORD1375</t>
  </si>
  <si>
    <t>ORD1376</t>
  </si>
  <si>
    <t>ORD1377</t>
  </si>
  <si>
    <t>ORD1378</t>
  </si>
  <si>
    <t>ORD1379</t>
  </si>
  <si>
    <t>ORD1380</t>
  </si>
  <si>
    <t>ORD1381</t>
  </si>
  <si>
    <t>ORD1382</t>
  </si>
  <si>
    <t>ORD1383</t>
  </si>
  <si>
    <t>ORD1384</t>
  </si>
  <si>
    <t>ORD1385</t>
  </si>
  <si>
    <t>ORD1386</t>
  </si>
  <si>
    <t>ORD1387</t>
  </si>
  <si>
    <t>ORD1388</t>
  </si>
  <si>
    <t>ORD1389</t>
  </si>
  <si>
    <t>ORD1390</t>
  </si>
  <si>
    <t>ORD1391</t>
  </si>
  <si>
    <t>ORD1392</t>
  </si>
  <si>
    <t>ORD1393</t>
  </si>
  <si>
    <t>ORD1394</t>
  </si>
  <si>
    <t>ORD1395</t>
  </si>
  <si>
    <t>ORD1396</t>
  </si>
  <si>
    <t>ORD1397</t>
  </si>
  <si>
    <t>ORD1398</t>
  </si>
  <si>
    <t>ORD1399</t>
  </si>
  <si>
    <t>ORD1400</t>
  </si>
  <si>
    <t>ORD1401</t>
  </si>
  <si>
    <t>ORD1402</t>
  </si>
  <si>
    <t>ORD1403</t>
  </si>
  <si>
    <t>ORD1404</t>
  </si>
  <si>
    <t>ORD1405</t>
  </si>
  <si>
    <t>ORD1406</t>
  </si>
  <si>
    <t>ORD1407</t>
  </si>
  <si>
    <t>ORD1408</t>
  </si>
  <si>
    <t>ORD1409</t>
  </si>
  <si>
    <t>ORD1410</t>
  </si>
  <si>
    <t>ORD1411</t>
  </si>
  <si>
    <t>ORD1412</t>
  </si>
  <si>
    <t>ORD1413</t>
  </si>
  <si>
    <t>ORD1414</t>
  </si>
  <si>
    <t>ORD1415</t>
  </si>
  <si>
    <t>ORD1416</t>
  </si>
  <si>
    <t>ORD1417</t>
  </si>
  <si>
    <t>ORD1418</t>
  </si>
  <si>
    <t>ORD1419</t>
  </si>
  <si>
    <t>ORD1420</t>
  </si>
  <si>
    <t>ORD1421</t>
  </si>
  <si>
    <t>ORD1422</t>
  </si>
  <si>
    <t>ORD1423</t>
  </si>
  <si>
    <t>ORD1424</t>
  </si>
  <si>
    <t>ORD1425</t>
  </si>
  <si>
    <t>ORD1426</t>
  </si>
  <si>
    <t>ORD1427</t>
  </si>
  <si>
    <t>ORD1428</t>
  </si>
  <si>
    <t>ORD1429</t>
  </si>
  <si>
    <t>ORD1430</t>
  </si>
  <si>
    <t>ORD1431</t>
  </si>
  <si>
    <t>ORD1432</t>
  </si>
  <si>
    <t>ORD1433</t>
  </si>
  <si>
    <t>ORD1434</t>
  </si>
  <si>
    <t>ORD1435</t>
  </si>
  <si>
    <t>ORD1436</t>
  </si>
  <si>
    <t>ORD1437</t>
  </si>
  <si>
    <t>ORD1438</t>
  </si>
  <si>
    <t>ORD1439</t>
  </si>
  <si>
    <t>ORD1440</t>
  </si>
  <si>
    <t>ORD1441</t>
  </si>
  <si>
    <t>ORD1442</t>
  </si>
  <si>
    <t>ORD1443</t>
  </si>
  <si>
    <t>ORD1444</t>
  </si>
  <si>
    <t>ORD1445</t>
  </si>
  <si>
    <t>ORD1446</t>
  </si>
  <si>
    <t>ORD1447</t>
  </si>
  <si>
    <t>ORD1448</t>
  </si>
  <si>
    <t>ORD1449</t>
  </si>
  <si>
    <t>ORD1450</t>
  </si>
  <si>
    <t>ORD1451</t>
  </si>
  <si>
    <t>ORD1452</t>
  </si>
  <si>
    <t>ORD1453</t>
  </si>
  <si>
    <t>ORD1454</t>
  </si>
  <si>
    <t>ORD1455</t>
  </si>
  <si>
    <t>ORD1456</t>
  </si>
  <si>
    <t>ORD1457</t>
  </si>
  <si>
    <t>ORD1458</t>
  </si>
  <si>
    <t>ORD1459</t>
  </si>
  <si>
    <t>ORD1460</t>
  </si>
  <si>
    <t>ORD1461</t>
  </si>
  <si>
    <t>ORD1462</t>
  </si>
  <si>
    <t>ORD1463</t>
  </si>
  <si>
    <t>ORD1464</t>
  </si>
  <si>
    <t>ORD1465</t>
  </si>
  <si>
    <t>ORD1466</t>
  </si>
  <si>
    <t>ORD1467</t>
  </si>
  <si>
    <t>ORD1468</t>
  </si>
  <si>
    <t>ORD1469</t>
  </si>
  <si>
    <t>ORD1470</t>
  </si>
  <si>
    <t>ORD1471</t>
  </si>
  <si>
    <t>ORD1472</t>
  </si>
  <si>
    <t>ORD1473</t>
  </si>
  <si>
    <t>ORD1474</t>
  </si>
  <si>
    <t>ORD1475</t>
  </si>
  <si>
    <t>ORD1476</t>
  </si>
  <si>
    <t>ORD1477</t>
  </si>
  <si>
    <t>ORD1478</t>
  </si>
  <si>
    <t>ORD1479</t>
  </si>
  <si>
    <t>ORD1480</t>
  </si>
  <si>
    <t>ORD1481</t>
  </si>
  <si>
    <t>ORD1482</t>
  </si>
  <si>
    <t>ORD1483</t>
  </si>
  <si>
    <t>ORD1484</t>
  </si>
  <si>
    <t>ORD1485</t>
  </si>
  <si>
    <t>ORD1486</t>
  </si>
  <si>
    <t>ORD1487</t>
  </si>
  <si>
    <t>ORD1488</t>
  </si>
  <si>
    <t>ORD1489</t>
  </si>
  <si>
    <t>ORD1490</t>
  </si>
  <si>
    <t>ORD1491</t>
  </si>
  <si>
    <t>ORD1492</t>
  </si>
  <si>
    <t>ORD1493</t>
  </si>
  <si>
    <t>ORD1494</t>
  </si>
  <si>
    <t>ORD1495</t>
  </si>
  <si>
    <t>ORD1496</t>
  </si>
  <si>
    <t>ORD1497</t>
  </si>
  <si>
    <t>ORD1498</t>
  </si>
  <si>
    <t>ORD1499</t>
  </si>
  <si>
    <t>CUS500</t>
  </si>
  <si>
    <t>CUS501</t>
  </si>
  <si>
    <t>CUS502</t>
  </si>
  <si>
    <t>CUS503</t>
  </si>
  <si>
    <t>CUS504</t>
  </si>
  <si>
    <t>CUS505</t>
  </si>
  <si>
    <t>CUS506</t>
  </si>
  <si>
    <t>CUS507</t>
  </si>
  <si>
    <t>CUS508</t>
  </si>
  <si>
    <t>CUS509</t>
  </si>
  <si>
    <t>CUS510</t>
  </si>
  <si>
    <t>CUS511</t>
  </si>
  <si>
    <t>CUS512</t>
  </si>
  <si>
    <t>CUS513</t>
  </si>
  <si>
    <t>CUS514</t>
  </si>
  <si>
    <t>CUS515</t>
  </si>
  <si>
    <t>CUS516</t>
  </si>
  <si>
    <t>CUS517</t>
  </si>
  <si>
    <t>CUS518</t>
  </si>
  <si>
    <t>CUS519</t>
  </si>
  <si>
    <t>CUS520</t>
  </si>
  <si>
    <t>CUS521</t>
  </si>
  <si>
    <t>CUS522</t>
  </si>
  <si>
    <t>CUS523</t>
  </si>
  <si>
    <t>CUS524</t>
  </si>
  <si>
    <t>CUS525</t>
  </si>
  <si>
    <t>CUS526</t>
  </si>
  <si>
    <t>CUS527</t>
  </si>
  <si>
    <t>CUS528</t>
  </si>
  <si>
    <t>CUS529</t>
  </si>
  <si>
    <t>CUS530</t>
  </si>
  <si>
    <t>CUS531</t>
  </si>
  <si>
    <t>CUS532</t>
  </si>
  <si>
    <t>CUS533</t>
  </si>
  <si>
    <t>CUS534</t>
  </si>
  <si>
    <t>CUS535</t>
  </si>
  <si>
    <t>CUS536</t>
  </si>
  <si>
    <t>CUS537</t>
  </si>
  <si>
    <t>CUS538</t>
  </si>
  <si>
    <t>CUS539</t>
  </si>
  <si>
    <t>CUS540</t>
  </si>
  <si>
    <t>CUS541</t>
  </si>
  <si>
    <t>CUS542</t>
  </si>
  <si>
    <t>CUS543</t>
  </si>
  <si>
    <t>CUS544</t>
  </si>
  <si>
    <t>CUS545</t>
  </si>
  <si>
    <t>CUS546</t>
  </si>
  <si>
    <t>CUS547</t>
  </si>
  <si>
    <t>CUS548</t>
  </si>
  <si>
    <t>CUS549</t>
  </si>
  <si>
    <t>CUS550</t>
  </si>
  <si>
    <t>CUS551</t>
  </si>
  <si>
    <t>CUS552</t>
  </si>
  <si>
    <t>CUS553</t>
  </si>
  <si>
    <t>CUS554</t>
  </si>
  <si>
    <t>CUS555</t>
  </si>
  <si>
    <t>CUS556</t>
  </si>
  <si>
    <t>CUS557</t>
  </si>
  <si>
    <t>CUS558</t>
  </si>
  <si>
    <t>CUS559</t>
  </si>
  <si>
    <t>CUS560</t>
  </si>
  <si>
    <t>CUS561</t>
  </si>
  <si>
    <t>CUS562</t>
  </si>
  <si>
    <t>CUS563</t>
  </si>
  <si>
    <t>CUS564</t>
  </si>
  <si>
    <t>CUS565</t>
  </si>
  <si>
    <t>CUS566</t>
  </si>
  <si>
    <t>CUS567</t>
  </si>
  <si>
    <t>CUS568</t>
  </si>
  <si>
    <t>CUS569</t>
  </si>
  <si>
    <t>CUS570</t>
  </si>
  <si>
    <t>CUS571</t>
  </si>
  <si>
    <t>CUS572</t>
  </si>
  <si>
    <t>CUS573</t>
  </si>
  <si>
    <t>CUS574</t>
  </si>
  <si>
    <t>CUS575</t>
  </si>
  <si>
    <t>CUS576</t>
  </si>
  <si>
    <t>CUS577</t>
  </si>
  <si>
    <t>CUS578</t>
  </si>
  <si>
    <t>CUS579</t>
  </si>
  <si>
    <t>CUS580</t>
  </si>
  <si>
    <t>CUS581</t>
  </si>
  <si>
    <t>CUS582</t>
  </si>
  <si>
    <t>CUS583</t>
  </si>
  <si>
    <t>CUS584</t>
  </si>
  <si>
    <t>CUS585</t>
  </si>
  <si>
    <t>CUS586</t>
  </si>
  <si>
    <t>CUS587</t>
  </si>
  <si>
    <t>CUS588</t>
  </si>
  <si>
    <t>CUS589</t>
  </si>
  <si>
    <t>CUS590</t>
  </si>
  <si>
    <t>CUS591</t>
  </si>
  <si>
    <t>CUS592</t>
  </si>
  <si>
    <t>CUS593</t>
  </si>
  <si>
    <t>CUS594</t>
  </si>
  <si>
    <t>CUS595</t>
  </si>
  <si>
    <t>CUS596</t>
  </si>
  <si>
    <t>CUS597</t>
  </si>
  <si>
    <t>CUS598</t>
  </si>
  <si>
    <t>CUS599</t>
  </si>
  <si>
    <t>CUS600</t>
  </si>
  <si>
    <t>CUS601</t>
  </si>
  <si>
    <t>CUS602</t>
  </si>
  <si>
    <t>CUS603</t>
  </si>
  <si>
    <t>CUS604</t>
  </si>
  <si>
    <t>CUS605</t>
  </si>
  <si>
    <t>CUS606</t>
  </si>
  <si>
    <t>CUS607</t>
  </si>
  <si>
    <t>CUS608</t>
  </si>
  <si>
    <t>CUS609</t>
  </si>
  <si>
    <t>CUS610</t>
  </si>
  <si>
    <t>CUS611</t>
  </si>
  <si>
    <t>CUS612</t>
  </si>
  <si>
    <t>CUS613</t>
  </si>
  <si>
    <t>CUS614</t>
  </si>
  <si>
    <t>CUS615</t>
  </si>
  <si>
    <t>CUS616</t>
  </si>
  <si>
    <t>CUS617</t>
  </si>
  <si>
    <t>CUS618</t>
  </si>
  <si>
    <t>CUS619</t>
  </si>
  <si>
    <t>CUS620</t>
  </si>
  <si>
    <t>CUS621</t>
  </si>
  <si>
    <t>CUS622</t>
  </si>
  <si>
    <t>CUS623</t>
  </si>
  <si>
    <t>CUS624</t>
  </si>
  <si>
    <t>CUS625</t>
  </si>
  <si>
    <t>CUS626</t>
  </si>
  <si>
    <t>CUS627</t>
  </si>
  <si>
    <t>CUS628</t>
  </si>
  <si>
    <t>CUS629</t>
  </si>
  <si>
    <t>CUS630</t>
  </si>
  <si>
    <t>CUS631</t>
  </si>
  <si>
    <t>CUS632</t>
  </si>
  <si>
    <t>CUS633</t>
  </si>
  <si>
    <t>CUS634</t>
  </si>
  <si>
    <t>CUS635</t>
  </si>
  <si>
    <t>CUS636</t>
  </si>
  <si>
    <t>CUS637</t>
  </si>
  <si>
    <t>CUS638</t>
  </si>
  <si>
    <t>CUS639</t>
  </si>
  <si>
    <t>CUS640</t>
  </si>
  <si>
    <t>CUS641</t>
  </si>
  <si>
    <t>CUS642</t>
  </si>
  <si>
    <t>CUS643</t>
  </si>
  <si>
    <t>CUS644</t>
  </si>
  <si>
    <t>CUS645</t>
  </si>
  <si>
    <t>CUS646</t>
  </si>
  <si>
    <t>CUS647</t>
  </si>
  <si>
    <t>CUS648</t>
  </si>
  <si>
    <t>CUS649</t>
  </si>
  <si>
    <t>CUS650</t>
  </si>
  <si>
    <t>CUS651</t>
  </si>
  <si>
    <t>CUS652</t>
  </si>
  <si>
    <t>CUS653</t>
  </si>
  <si>
    <t>CUS654</t>
  </si>
  <si>
    <t>CUS655</t>
  </si>
  <si>
    <t>CUS656</t>
  </si>
  <si>
    <t>CUS657</t>
  </si>
  <si>
    <t>CUS658</t>
  </si>
  <si>
    <t>CUS659</t>
  </si>
  <si>
    <t>CUS660</t>
  </si>
  <si>
    <t>CUS661</t>
  </si>
  <si>
    <t>CUS662</t>
  </si>
  <si>
    <t>CUS663</t>
  </si>
  <si>
    <t>CUS664</t>
  </si>
  <si>
    <t>CUS665</t>
  </si>
  <si>
    <t>CUS666</t>
  </si>
  <si>
    <t>CUS667</t>
  </si>
  <si>
    <t>CUS668</t>
  </si>
  <si>
    <t>CUS669</t>
  </si>
  <si>
    <t>CUS670</t>
  </si>
  <si>
    <t>CUS671</t>
  </si>
  <si>
    <t>CUS672</t>
  </si>
  <si>
    <t>CUS673</t>
  </si>
  <si>
    <t>CUS674</t>
  </si>
  <si>
    <t>CUS675</t>
  </si>
  <si>
    <t>CUS676</t>
  </si>
  <si>
    <t>CUS677</t>
  </si>
  <si>
    <t>CUS678</t>
  </si>
  <si>
    <t>CUS679</t>
  </si>
  <si>
    <t>CUS680</t>
  </si>
  <si>
    <t>CUS681</t>
  </si>
  <si>
    <t>CUS682</t>
  </si>
  <si>
    <t>CUS683</t>
  </si>
  <si>
    <t>CUS684</t>
  </si>
  <si>
    <t>CUS685</t>
  </si>
  <si>
    <t>CUS686</t>
  </si>
  <si>
    <t>CUS687</t>
  </si>
  <si>
    <t>CUS688</t>
  </si>
  <si>
    <t>CUS689</t>
  </si>
  <si>
    <t>CUS690</t>
  </si>
  <si>
    <t>CUS691</t>
  </si>
  <si>
    <t>CUS692</t>
  </si>
  <si>
    <t>CUS693</t>
  </si>
  <si>
    <t>CUS694</t>
  </si>
  <si>
    <t>CUS695</t>
  </si>
  <si>
    <t>CUS696</t>
  </si>
  <si>
    <t>CUS697</t>
  </si>
  <si>
    <t>CUS698</t>
  </si>
  <si>
    <t>CUS699</t>
  </si>
  <si>
    <t>CUS700</t>
  </si>
  <si>
    <t>CUS701</t>
  </si>
  <si>
    <t>CUS702</t>
  </si>
  <si>
    <t>CUS703</t>
  </si>
  <si>
    <t>CUS704</t>
  </si>
  <si>
    <t>CUS705</t>
  </si>
  <si>
    <t>CUS706</t>
  </si>
  <si>
    <t>CUS707</t>
  </si>
  <si>
    <t>CUS708</t>
  </si>
  <si>
    <t>CUS709</t>
  </si>
  <si>
    <t>CUS710</t>
  </si>
  <si>
    <t>CUS711</t>
  </si>
  <si>
    <t>CUS712</t>
  </si>
  <si>
    <t>CUS713</t>
  </si>
  <si>
    <t>CUS714</t>
  </si>
  <si>
    <t>CUS715</t>
  </si>
  <si>
    <t>CUS716</t>
  </si>
  <si>
    <t>CUS717</t>
  </si>
  <si>
    <t>CUS718</t>
  </si>
  <si>
    <t>CUS719</t>
  </si>
  <si>
    <t>CUS720</t>
  </si>
  <si>
    <t>CUS721</t>
  </si>
  <si>
    <t>CUS722</t>
  </si>
  <si>
    <t>CUS723</t>
  </si>
  <si>
    <t>CUS724</t>
  </si>
  <si>
    <t>CUS725</t>
  </si>
  <si>
    <t>CUS726</t>
  </si>
  <si>
    <t>CUS727</t>
  </si>
  <si>
    <t>CUS728</t>
  </si>
  <si>
    <t>CUS729</t>
  </si>
  <si>
    <t>CUS730</t>
  </si>
  <si>
    <t>CUS731</t>
  </si>
  <si>
    <t>CUS732</t>
  </si>
  <si>
    <t>CUS733</t>
  </si>
  <si>
    <t>CUS734</t>
  </si>
  <si>
    <t>CUS735</t>
  </si>
  <si>
    <t>CUS736</t>
  </si>
  <si>
    <t>CUS737</t>
  </si>
  <si>
    <t>CUS738</t>
  </si>
  <si>
    <t>CUS739</t>
  </si>
  <si>
    <t>CUS740</t>
  </si>
  <si>
    <t>CUS741</t>
  </si>
  <si>
    <t>CUS742</t>
  </si>
  <si>
    <t>CUS743</t>
  </si>
  <si>
    <t>CUS744</t>
  </si>
  <si>
    <t>CUS745</t>
  </si>
  <si>
    <t>CUS746</t>
  </si>
  <si>
    <t>CUS747</t>
  </si>
  <si>
    <t>CUS748</t>
  </si>
  <si>
    <t>CUS749</t>
  </si>
  <si>
    <t>CUS750</t>
  </si>
  <si>
    <t>CUS751</t>
  </si>
  <si>
    <t>CUS752</t>
  </si>
  <si>
    <t>CUS753</t>
  </si>
  <si>
    <t>CUS754</t>
  </si>
  <si>
    <t>CUS755</t>
  </si>
  <si>
    <t>CUS756</t>
  </si>
  <si>
    <t>CUS757</t>
  </si>
  <si>
    <t>CUS758</t>
  </si>
  <si>
    <t>CUS759</t>
  </si>
  <si>
    <t>CUS760</t>
  </si>
  <si>
    <t>CUS761</t>
  </si>
  <si>
    <t>CUS762</t>
  </si>
  <si>
    <t>CUS763</t>
  </si>
  <si>
    <t>CUS764</t>
  </si>
  <si>
    <t>CUS765</t>
  </si>
  <si>
    <t>CUS766</t>
  </si>
  <si>
    <t>CUS767</t>
  </si>
  <si>
    <t>CUS768</t>
  </si>
  <si>
    <t>CUS769</t>
  </si>
  <si>
    <t>CUS770</t>
  </si>
  <si>
    <t>CUS771</t>
  </si>
  <si>
    <t>CUS772</t>
  </si>
  <si>
    <t>CUS773</t>
  </si>
  <si>
    <t>CUS774</t>
  </si>
  <si>
    <t>CUS775</t>
  </si>
  <si>
    <t>CUS776</t>
  </si>
  <si>
    <t>CUS777</t>
  </si>
  <si>
    <t>CUS778</t>
  </si>
  <si>
    <t>CUS779</t>
  </si>
  <si>
    <t>CUS780</t>
  </si>
  <si>
    <t>CUS781</t>
  </si>
  <si>
    <t>CUS782</t>
  </si>
  <si>
    <t>CUS783</t>
  </si>
  <si>
    <t>CUS784</t>
  </si>
  <si>
    <t>CUS785</t>
  </si>
  <si>
    <t>CUS786</t>
  </si>
  <si>
    <t>CUS787</t>
  </si>
  <si>
    <t>CUS788</t>
  </si>
  <si>
    <t>CUS789</t>
  </si>
  <si>
    <t>CUS790</t>
  </si>
  <si>
    <t>CUS791</t>
  </si>
  <si>
    <t>CUS792</t>
  </si>
  <si>
    <t>CUS793</t>
  </si>
  <si>
    <t>CUS794</t>
  </si>
  <si>
    <t>CUS795</t>
  </si>
  <si>
    <t>CUS796</t>
  </si>
  <si>
    <t>CUS797</t>
  </si>
  <si>
    <t>CUS798</t>
  </si>
  <si>
    <t>CUS799</t>
  </si>
  <si>
    <t>CUS800</t>
  </si>
  <si>
    <t>CUS801</t>
  </si>
  <si>
    <t>CUS802</t>
  </si>
  <si>
    <t>CUS803</t>
  </si>
  <si>
    <t>CUS804</t>
  </si>
  <si>
    <t>CUS805</t>
  </si>
  <si>
    <t>CUS806</t>
  </si>
  <si>
    <t>CUS807</t>
  </si>
  <si>
    <t>CUS808</t>
  </si>
  <si>
    <t>CUS809</t>
  </si>
  <si>
    <t>CUS810</t>
  </si>
  <si>
    <t>CUS811</t>
  </si>
  <si>
    <t>CUS812</t>
  </si>
  <si>
    <t>CUS813</t>
  </si>
  <si>
    <t>CUS814</t>
  </si>
  <si>
    <t>CUS815</t>
  </si>
  <si>
    <t>CUS816</t>
  </si>
  <si>
    <t>CUS817</t>
  </si>
  <si>
    <t>CUS818</t>
  </si>
  <si>
    <t>CUS819</t>
  </si>
  <si>
    <t>CUS820</t>
  </si>
  <si>
    <t>CUS821</t>
  </si>
  <si>
    <t>CUS822</t>
  </si>
  <si>
    <t>CUS823</t>
  </si>
  <si>
    <t>CUS824</t>
  </si>
  <si>
    <t>CUS825</t>
  </si>
  <si>
    <t>CUS826</t>
  </si>
  <si>
    <t>CUS827</t>
  </si>
  <si>
    <t>CUS828</t>
  </si>
  <si>
    <t>CUS829</t>
  </si>
  <si>
    <t>CUS830</t>
  </si>
  <si>
    <t>CUS831</t>
  </si>
  <si>
    <t>CUS832</t>
  </si>
  <si>
    <t>CUS833</t>
  </si>
  <si>
    <t>CUS834</t>
  </si>
  <si>
    <t>CUS835</t>
  </si>
  <si>
    <t>CUS836</t>
  </si>
  <si>
    <t>CUS837</t>
  </si>
  <si>
    <t>CUS838</t>
  </si>
  <si>
    <t>CUS839</t>
  </si>
  <si>
    <t>CUS840</t>
  </si>
  <si>
    <t>CUS841</t>
  </si>
  <si>
    <t>CUS842</t>
  </si>
  <si>
    <t>CUS843</t>
  </si>
  <si>
    <t>CUS844</t>
  </si>
  <si>
    <t>CUS845</t>
  </si>
  <si>
    <t>CUS846</t>
  </si>
  <si>
    <t>CUS847</t>
  </si>
  <si>
    <t>CUS848</t>
  </si>
  <si>
    <t>CUS849</t>
  </si>
  <si>
    <t>CUS850</t>
  </si>
  <si>
    <t>CUS851</t>
  </si>
  <si>
    <t>CUS852</t>
  </si>
  <si>
    <t>CUS853</t>
  </si>
  <si>
    <t>CUS854</t>
  </si>
  <si>
    <t>CUS855</t>
  </si>
  <si>
    <t>CUS856</t>
  </si>
  <si>
    <t>CUS857</t>
  </si>
  <si>
    <t>CUS858</t>
  </si>
  <si>
    <t>CUS859</t>
  </si>
  <si>
    <t>CUS860</t>
  </si>
  <si>
    <t>CUS861</t>
  </si>
  <si>
    <t>CUS862</t>
  </si>
  <si>
    <t>CUS863</t>
  </si>
  <si>
    <t>CUS864</t>
  </si>
  <si>
    <t>CUS865</t>
  </si>
  <si>
    <t>CUS866</t>
  </si>
  <si>
    <t>CUS867</t>
  </si>
  <si>
    <t>CUS868</t>
  </si>
  <si>
    <t>CUS869</t>
  </si>
  <si>
    <t>CUS870</t>
  </si>
  <si>
    <t>CUS871</t>
  </si>
  <si>
    <t>CUS872</t>
  </si>
  <si>
    <t>CUS873</t>
  </si>
  <si>
    <t>CUS874</t>
  </si>
  <si>
    <t>CUS875</t>
  </si>
  <si>
    <t>CUS876</t>
  </si>
  <si>
    <t>CUS877</t>
  </si>
  <si>
    <t>CUS878</t>
  </si>
  <si>
    <t>CUS879</t>
  </si>
  <si>
    <t>CUS880</t>
  </si>
  <si>
    <t>CUS881</t>
  </si>
  <si>
    <t>CUS882</t>
  </si>
  <si>
    <t>CUS883</t>
  </si>
  <si>
    <t>CUS884</t>
  </si>
  <si>
    <t>CUS885</t>
  </si>
  <si>
    <t>CUS886</t>
  </si>
  <si>
    <t>CUS887</t>
  </si>
  <si>
    <t>CUS888</t>
  </si>
  <si>
    <t>CUS889</t>
  </si>
  <si>
    <t>CUS890</t>
  </si>
  <si>
    <t>CUS891</t>
  </si>
  <si>
    <t>CUS892</t>
  </si>
  <si>
    <t>CUS893</t>
  </si>
  <si>
    <t>CUS894</t>
  </si>
  <si>
    <t>CUS895</t>
  </si>
  <si>
    <t>CUS896</t>
  </si>
  <si>
    <t>CUS897</t>
  </si>
  <si>
    <t>CUS898</t>
  </si>
  <si>
    <t>CUS899</t>
  </si>
  <si>
    <t>CUS900</t>
  </si>
  <si>
    <t>CUS901</t>
  </si>
  <si>
    <t>CUS902</t>
  </si>
  <si>
    <t>CUS903</t>
  </si>
  <si>
    <t>CUS904</t>
  </si>
  <si>
    <t>CUS905</t>
  </si>
  <si>
    <t>CUS906</t>
  </si>
  <si>
    <t>CUS907</t>
  </si>
  <si>
    <t>CUS908</t>
  </si>
  <si>
    <t>CUS909</t>
  </si>
  <si>
    <t>CUS910</t>
  </si>
  <si>
    <t>CUS911</t>
  </si>
  <si>
    <t>CUS912</t>
  </si>
  <si>
    <t>CUS913</t>
  </si>
  <si>
    <t>CUS914</t>
  </si>
  <si>
    <t>CUS915</t>
  </si>
  <si>
    <t>CUS916</t>
  </si>
  <si>
    <t>CUS917</t>
  </si>
  <si>
    <t>CUS918</t>
  </si>
  <si>
    <t>CUS919</t>
  </si>
  <si>
    <t>CUS920</t>
  </si>
  <si>
    <t>CUS921</t>
  </si>
  <si>
    <t>CUS922</t>
  </si>
  <si>
    <t>CUS923</t>
  </si>
  <si>
    <t>CUS924</t>
  </si>
  <si>
    <t>CUS925</t>
  </si>
  <si>
    <t>CUS926</t>
  </si>
  <si>
    <t>CUS927</t>
  </si>
  <si>
    <t>CUS928</t>
  </si>
  <si>
    <t>CUS929</t>
  </si>
  <si>
    <t>CUS930</t>
  </si>
  <si>
    <t>CUS931</t>
  </si>
  <si>
    <t>CUS932</t>
  </si>
  <si>
    <t>CUS933</t>
  </si>
  <si>
    <t>CUS934</t>
  </si>
  <si>
    <t>CUS935</t>
  </si>
  <si>
    <t>CUS936</t>
  </si>
  <si>
    <t>CUS937</t>
  </si>
  <si>
    <t>CUS938</t>
  </si>
  <si>
    <t>CUS939</t>
  </si>
  <si>
    <t>CUS940</t>
  </si>
  <si>
    <t>CUS941</t>
  </si>
  <si>
    <t>CUS942</t>
  </si>
  <si>
    <t>CUS943</t>
  </si>
  <si>
    <t>CUS944</t>
  </si>
  <si>
    <t>CUS945</t>
  </si>
  <si>
    <t>CUS946</t>
  </si>
  <si>
    <t>CUS947</t>
  </si>
  <si>
    <t>CUS948</t>
  </si>
  <si>
    <t>CUS949</t>
  </si>
  <si>
    <t>CUS950</t>
  </si>
  <si>
    <t>CUS951</t>
  </si>
  <si>
    <t>CUS952</t>
  </si>
  <si>
    <t>CUS953</t>
  </si>
  <si>
    <t>CUS954</t>
  </si>
  <si>
    <t>CUS955</t>
  </si>
  <si>
    <t>CUS956</t>
  </si>
  <si>
    <t>CUS957</t>
  </si>
  <si>
    <t>CUS958</t>
  </si>
  <si>
    <t>CUS959</t>
  </si>
  <si>
    <t>CUS960</t>
  </si>
  <si>
    <t>CUS961</t>
  </si>
  <si>
    <t>CUS962</t>
  </si>
  <si>
    <t>CUS963</t>
  </si>
  <si>
    <t>CUS964</t>
  </si>
  <si>
    <t>CUS965</t>
  </si>
  <si>
    <t>CUS966</t>
  </si>
  <si>
    <t>CUS967</t>
  </si>
  <si>
    <t>CUS968</t>
  </si>
  <si>
    <t>CUS969</t>
  </si>
  <si>
    <t>CUS970</t>
  </si>
  <si>
    <t>CUS971</t>
  </si>
  <si>
    <t>CUS972</t>
  </si>
  <si>
    <t>CUS973</t>
  </si>
  <si>
    <t>CUS974</t>
  </si>
  <si>
    <t>CUS975</t>
  </si>
  <si>
    <t>CUS976</t>
  </si>
  <si>
    <t>CUS977</t>
  </si>
  <si>
    <t>CUS978</t>
  </si>
  <si>
    <t>CUS979</t>
  </si>
  <si>
    <t>CUS980</t>
  </si>
  <si>
    <t>CUS981</t>
  </si>
  <si>
    <t>CUS982</t>
  </si>
  <si>
    <t>CUS983</t>
  </si>
  <si>
    <t>CUS984</t>
  </si>
  <si>
    <t>CUS985</t>
  </si>
  <si>
    <t>CUS986</t>
  </si>
  <si>
    <t>CUS987</t>
  </si>
  <si>
    <t>CUS988</t>
  </si>
  <si>
    <t>CUS989</t>
  </si>
  <si>
    <t>CUS990</t>
  </si>
  <si>
    <t>CUS991</t>
  </si>
  <si>
    <t>CUS992</t>
  </si>
  <si>
    <t>CUS993</t>
  </si>
  <si>
    <t>CUS994</t>
  </si>
  <si>
    <t>CUS995</t>
  </si>
  <si>
    <t>CUS996</t>
  </si>
  <si>
    <t>CUS997</t>
  </si>
  <si>
    <t>CUS998</t>
  </si>
  <si>
    <t>CUS999</t>
  </si>
  <si>
    <t>Divya Iyer</t>
  </si>
  <si>
    <t>Suresh Gupta</t>
  </si>
  <si>
    <t>Sneha Verma</t>
  </si>
  <si>
    <t>Kavita Gupta</t>
  </si>
  <si>
    <t>Rohan Gupta</t>
  </si>
  <si>
    <t>Sneha Kumar</t>
  </si>
  <si>
    <t>Kavita Singh</t>
  </si>
  <si>
    <t>Amit Nair</t>
  </si>
  <si>
    <t>Rahul Yadav</t>
  </si>
  <si>
    <t>Priya Patel</t>
  </si>
  <si>
    <t>Arjun Patel</t>
  </si>
  <si>
    <t>Arjun Yadav</t>
  </si>
  <si>
    <t>Rahul Verma</t>
  </si>
  <si>
    <t>Priya Kumar</t>
  </si>
  <si>
    <t>Manish Iyer</t>
  </si>
  <si>
    <t>Ritu Kumar</t>
  </si>
  <si>
    <t>Neha Iyer</t>
  </si>
  <si>
    <t>Suresh Singh</t>
  </si>
  <si>
    <t>Sneha Patel</t>
  </si>
  <si>
    <t>Vikas Nair</t>
  </si>
  <si>
    <t>Manish Patel</t>
  </si>
  <si>
    <t>Sneha Gupta</t>
  </si>
  <si>
    <t>Raj Yadav</t>
  </si>
  <si>
    <t>Vikas Sharma</t>
  </si>
  <si>
    <t>Divya Gupta</t>
  </si>
  <si>
    <t>Arjun Sharma</t>
  </si>
  <si>
    <t>Manish Nair</t>
  </si>
  <si>
    <t>Ritu Patel</t>
  </si>
  <si>
    <t>Ritu Iyer</t>
  </si>
  <si>
    <t>Amit Singh</t>
  </si>
  <si>
    <t>Manish Gupta</t>
  </si>
  <si>
    <t>Manish Sharma</t>
  </si>
  <si>
    <t>Manish Singh</t>
  </si>
  <si>
    <t>Sneha Sharma</t>
  </si>
  <si>
    <t>Kavita Iyer</t>
  </si>
  <si>
    <t>Raj Iyer</t>
  </si>
  <si>
    <t>Neha Gupta</t>
  </si>
  <si>
    <t>Suresh Iyer</t>
  </si>
  <si>
    <t>Kavita Reddy</t>
  </si>
  <si>
    <t>Neha Reddy</t>
  </si>
  <si>
    <t>Rahul Kumar</t>
  </si>
  <si>
    <t>Sneha Reddy</t>
  </si>
  <si>
    <t>Suresh Verma</t>
  </si>
  <si>
    <t>Anita Verma</t>
  </si>
  <si>
    <t>Neha Sharma</t>
  </si>
  <si>
    <t>Divya Sharma</t>
  </si>
  <si>
    <t>Rohan Sharma</t>
  </si>
  <si>
    <t>Sneha Singh</t>
  </si>
  <si>
    <t>Ritu Gupta</t>
  </si>
  <si>
    <t>Ritu Nair</t>
  </si>
  <si>
    <t>Ritu Verma</t>
  </si>
  <si>
    <t>Suresh Sharma</t>
  </si>
  <si>
    <t>Ritu Sharma</t>
  </si>
  <si>
    <t>Manish Verma</t>
  </si>
  <si>
    <t>Kavita Patel</t>
  </si>
  <si>
    <t>Rohan Reddy</t>
  </si>
  <si>
    <t>Anita Singh</t>
  </si>
  <si>
    <t>Rohan Patel</t>
  </si>
  <si>
    <t>Neha Kumar</t>
  </si>
  <si>
    <t>Ritu Singh</t>
  </si>
  <si>
    <t>Vikas Verma</t>
  </si>
  <si>
    <t>Divya Patel</t>
  </si>
  <si>
    <t>Anita Sharma</t>
  </si>
  <si>
    <t>Priya Singh</t>
  </si>
  <si>
    <t>Neha Verma</t>
  </si>
  <si>
    <t>Suresh Patel</t>
  </si>
  <si>
    <t>Manish Reddy</t>
  </si>
  <si>
    <t>Amit Patel</t>
  </si>
  <si>
    <t>Vikas Gupta</t>
  </si>
  <si>
    <t>Raj Singh</t>
  </si>
  <si>
    <t>Arjun Gupta</t>
  </si>
  <si>
    <t>Raj Reddy</t>
  </si>
  <si>
    <t>Suresh Nair</t>
  </si>
  <si>
    <t>Rahul Nair</t>
  </si>
  <si>
    <t>Vikas Patel</t>
  </si>
  <si>
    <t>Rahul Singh</t>
  </si>
  <si>
    <t>Raj Nair</t>
  </si>
  <si>
    <t>Arjun Reddy</t>
  </si>
  <si>
    <t>Sneha Iyer</t>
  </si>
  <si>
    <t>Rohan Yadav</t>
  </si>
  <si>
    <t>Rohan Verma</t>
  </si>
  <si>
    <t>Amit Verma</t>
  </si>
  <si>
    <t>Rohan Nair</t>
  </si>
  <si>
    <t>Rahul Reddy</t>
  </si>
  <si>
    <t>Divya Singh</t>
  </si>
  <si>
    <t>Priya Iyer</t>
  </si>
  <si>
    <t>Anita Reddy</t>
  </si>
  <si>
    <t>Vikas Yadav</t>
  </si>
  <si>
    <t>Kavita Sharma</t>
  </si>
  <si>
    <t>Vikas Singh</t>
  </si>
  <si>
    <t>Ritu Reddy</t>
  </si>
  <si>
    <t>Neha Yadav</t>
  </si>
  <si>
    <t>Anita Gupta</t>
  </si>
  <si>
    <t>Arjun Kumar</t>
  </si>
  <si>
    <t>Neha Nair</t>
  </si>
  <si>
    <t>Priya Verma</t>
  </si>
  <si>
    <t>Suresh Yadav</t>
  </si>
  <si>
    <t>Vikas Iyer</t>
  </si>
  <si>
    <t>Rohan Kumar</t>
  </si>
  <si>
    <t>Amit Gupta</t>
  </si>
  <si>
    <t>Ritu Yadav</t>
  </si>
  <si>
    <t>Kavita Yadav</t>
  </si>
  <si>
    <t>Vikas Kumar</t>
  </si>
  <si>
    <t>Priya Yadav</t>
  </si>
  <si>
    <t>Amit Yadav</t>
  </si>
  <si>
    <t>Priya Nair</t>
  </si>
  <si>
    <t>Kavita Nair</t>
  </si>
  <si>
    <t>Priya Gupta</t>
  </si>
  <si>
    <t>Rahul Sharma</t>
  </si>
  <si>
    <t>Amit Reddy</t>
  </si>
  <si>
    <t>Neha Singh</t>
  </si>
  <si>
    <t>Raj Verma</t>
  </si>
  <si>
    <t>Amit Iyer</t>
  </si>
  <si>
    <t>Kavita Kumar</t>
  </si>
  <si>
    <t>Rahul Iyer</t>
  </si>
  <si>
    <t>Arjun Iyer</t>
  </si>
  <si>
    <t>Vikas Reddy</t>
  </si>
  <si>
    <t>Rohan Iyer</t>
  </si>
  <si>
    <t>Anita Patel</t>
  </si>
  <si>
    <t>Arjun Verma</t>
  </si>
  <si>
    <t>Raj Patel</t>
  </si>
  <si>
    <t>Raj Gupta</t>
  </si>
  <si>
    <t>Anita Yadav</t>
  </si>
  <si>
    <t>Amit Kumar</t>
  </si>
  <si>
    <t>Divya Yadav</t>
  </si>
  <si>
    <t>Rahul Patel</t>
  </si>
  <si>
    <t>Anita Kumar</t>
  </si>
  <si>
    <t>Divya Reddy</t>
  </si>
  <si>
    <t>Suresh Kumar</t>
  </si>
  <si>
    <t>Priya Sharma</t>
  </si>
  <si>
    <t>Amit Sharma</t>
  </si>
  <si>
    <t>Kavita Verma</t>
  </si>
  <si>
    <t>Divya Verma</t>
  </si>
  <si>
    <t>Sneha Nair</t>
  </si>
  <si>
    <t>Anita Iyer</t>
  </si>
  <si>
    <t>Rahul Gupta</t>
  </si>
  <si>
    <t>Suresh Reddy</t>
  </si>
  <si>
    <t>Sneha Yadav</t>
  </si>
  <si>
    <t>Arjun Nair</t>
  </si>
  <si>
    <t>Priya Reddy</t>
  </si>
  <si>
    <t>Arjun Singh</t>
  </si>
  <si>
    <t>Raj Sharma</t>
  </si>
  <si>
    <t>Rohan Singh</t>
  </si>
  <si>
    <t>Manish Yadav</t>
  </si>
  <si>
    <t>Raj Kumar</t>
  </si>
  <si>
    <t>Divya Kumar</t>
  </si>
  <si>
    <t>Male</t>
  </si>
  <si>
    <t>Female</t>
  </si>
  <si>
    <t>Mumbai</t>
  </si>
  <si>
    <t>Mangalore</t>
  </si>
  <si>
    <t>New Delhi</t>
  </si>
  <si>
    <t>Howrah</t>
  </si>
  <si>
    <t>Jodhpur</t>
  </si>
  <si>
    <t>Nagpur</t>
  </si>
  <si>
    <t>Madurai</t>
  </si>
  <si>
    <t>Durgapur</t>
  </si>
  <si>
    <t>Ahmedabad</t>
  </si>
  <si>
    <t>Kolkata</t>
  </si>
  <si>
    <t>Jaipur</t>
  </si>
  <si>
    <t>Coimbatore</t>
  </si>
  <si>
    <t>Surat</t>
  </si>
  <si>
    <t>Vadodara</t>
  </si>
  <si>
    <t>Bengaluru</t>
  </si>
  <si>
    <t>Udaipur</t>
  </si>
  <si>
    <t>Pune</t>
  </si>
  <si>
    <t>Chennai</t>
  </si>
  <si>
    <t>Mysuru</t>
  </si>
  <si>
    <t>Maharashtra</t>
  </si>
  <si>
    <t>Karnataka</t>
  </si>
  <si>
    <t>Delhi</t>
  </si>
  <si>
    <t>West Bengal</t>
  </si>
  <si>
    <t>Rajasthan</t>
  </si>
  <si>
    <t>Tamil Nadu</t>
  </si>
  <si>
    <t>Gujarat</t>
  </si>
  <si>
    <t>Bluetooth Speaker</t>
  </si>
  <si>
    <t>Laptop</t>
  </si>
  <si>
    <t>Tablet</t>
  </si>
  <si>
    <t>Earbuds</t>
  </si>
  <si>
    <t>Smartphone</t>
  </si>
  <si>
    <t>Smartwatch</t>
  </si>
  <si>
    <t>Myntra</t>
  </si>
  <si>
    <t>Flipkart</t>
  </si>
  <si>
    <t>Ajio</t>
  </si>
  <si>
    <t>Amazon</t>
  </si>
  <si>
    <t>Snapdeal</t>
  </si>
  <si>
    <t>Month</t>
  </si>
  <si>
    <t xml:space="preserve">Age Group </t>
  </si>
  <si>
    <t>Column Labels</t>
  </si>
  <si>
    <t>Row Labels</t>
  </si>
  <si>
    <t>Count of Order ID</t>
  </si>
  <si>
    <t>Sum of Total Spent</t>
  </si>
  <si>
    <t>January</t>
  </si>
  <si>
    <t>February</t>
  </si>
  <si>
    <t>March</t>
  </si>
  <si>
    <t>April</t>
  </si>
  <si>
    <t>May</t>
  </si>
  <si>
    <t>June</t>
  </si>
  <si>
    <t>July</t>
  </si>
  <si>
    <t>August</t>
  </si>
  <si>
    <t>September</t>
  </si>
  <si>
    <t>October</t>
  </si>
  <si>
    <t>November</t>
  </si>
  <si>
    <t>December</t>
  </si>
  <si>
    <t>Teenager</t>
  </si>
  <si>
    <t>Adult</t>
  </si>
  <si>
    <t>Senior</t>
  </si>
  <si>
    <t>Project Annual Report 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</si>
</sst>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6" x14ac:knownFonts="1">
    <font>
      <sz val="11"/>
      <color theme="1"/>
      <name val="Calibri"/>
      <family val="2"/>
      <scheme val="minor"/>
    </font>
    <font>
      <b/>
      <sz val="11"/>
      <color theme="1"/>
      <name val="Calibri"/>
      <family val="2"/>
      <scheme val="minor"/>
    </font>
    <font>
      <b/>
      <sz val="20"/>
      <color theme="1"/>
      <name val="Calibri"/>
      <family val="2"/>
      <scheme val="minor"/>
    </font>
    <font>
      <sz val="8"/>
      <name val="Calibri"/>
      <family val="2"/>
      <scheme val="minor"/>
    </font>
    <font>
      <b/>
      <sz val="20"/>
      <color rgb="FFFF0000"/>
      <name val="Calibri"/>
      <family val="2"/>
      <scheme val="minor"/>
    </font>
    <font>
      <b/>
      <sz val="24"/>
      <color theme="1"/>
      <name val="Calibri"/>
      <family val="2"/>
      <scheme val="minor"/>
    </font>
  </fonts>
  <fills count="4">
    <fill>
      <patternFill patternType="none"/>
    </fill>
    <fill>
      <patternFill patternType="gray125"/>
    </fill>
    <fill>
      <patternFill patternType="solid">
        <fgColor theme="9"/>
        <bgColor indexed="64"/>
      </patternFill>
    </fill>
    <fill>
      <patternFill patternType="solid">
        <fgColor theme="0" tint="-4.9989318521683403E-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0">
    <xf numFmtId="0" fontId="0" fillId="0" borderId="0" xfId="0"/>
    <xf numFmtId="0" fontId="1" fillId="0" borderId="1" xfId="0" applyFont="1" applyBorder="1" applyAlignment="1">
      <alignment horizontal="center" vertical="top"/>
    </xf>
    <xf numFmtId="164" fontId="0" fillId="0" borderId="0" xfId="0" applyNumberFormat="1"/>
    <xf numFmtId="0" fontId="0" fillId="0" borderId="0" xfId="0" pivotButton="1"/>
    <xf numFmtId="0" fontId="0" fillId="0" borderId="0" xfId="0" applyAlignment="1">
      <alignment horizontal="left"/>
    </xf>
    <xf numFmtId="10" fontId="0" fillId="0" borderId="0" xfId="0" applyNumberFormat="1"/>
    <xf numFmtId="0" fontId="0" fillId="3" borderId="0" xfId="0" applyFill="1"/>
    <xf numFmtId="0" fontId="4" fillId="3" borderId="0" xfId="0" applyFont="1" applyFill="1"/>
    <xf numFmtId="0" fontId="2" fillId="2" borderId="0" xfId="0" applyFont="1" applyFill="1"/>
    <xf numFmtId="0" fontId="5" fillId="2" borderId="0" xfId="0" applyFont="1" applyFill="1" applyAlignment="1">
      <alignment horizont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[Electronics Store Annual Report Excel Project.xltx]Sheet5!PivotTable3</c:name>
    <c:fmtId val="13"/>
  </c:pivotSource>
  <c:chart>
    <c:title>
      <c:tx>
        <c:rich>
          <a:bodyPr rot="0" spcFirstLastPara="1" vertOverflow="ellipsis" vert="horz" wrap="square" anchor="ctr" anchorCtr="1"/>
          <a:lstStyle/>
          <a:p>
            <a:pPr>
              <a:defRPr sz="1500" b="0" i="0" u="none" strike="noStrike" kern="1200" baseline="0">
                <a:solidFill>
                  <a:schemeClr val="dk1">
                    <a:lumMod val="65000"/>
                    <a:lumOff val="35000"/>
                  </a:schemeClr>
                </a:solidFill>
                <a:latin typeface="+mn-lt"/>
                <a:ea typeface="+mn-ea"/>
                <a:cs typeface="+mn-cs"/>
              </a:defRPr>
            </a:pPr>
            <a:r>
              <a:rPr lang="en-IN" sz="1500" b="0" i="0" baseline="0"/>
              <a:t>Sales: Male Vs Female</a:t>
            </a:r>
          </a:p>
        </c:rich>
      </c:tx>
      <c:overlay val="0"/>
      <c:spPr>
        <a:noFill/>
        <a:ln>
          <a:noFill/>
        </a:ln>
        <a:effectLst/>
      </c:spPr>
      <c:txPr>
        <a:bodyPr rot="0" spcFirstLastPara="1" vertOverflow="ellipsis" vert="horz" wrap="square" anchor="ctr" anchorCtr="1"/>
        <a:lstStyle/>
        <a:p>
          <a:pPr>
            <a:defRPr sz="1500" b="0"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dLbl>
          <c:idx val="0"/>
          <c:layout>
            <c:manualLayout>
              <c:x val="-0.27914404269311127"/>
              <c:y val="2.2195975503062116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087915573053368"/>
                  <c:h val="0.31004629629629632"/>
                </c:manualLayout>
              </c15:layout>
            </c:ext>
          </c:extLst>
        </c:dLbl>
      </c:pivotFmt>
      <c:pivotFmt>
        <c:idx val="2"/>
        <c:spPr>
          <a:solidFill>
            <a:schemeClr val="accent2"/>
          </a:solidFill>
          <a:ln>
            <a:noFill/>
          </a:ln>
          <a:effectLst>
            <a:outerShdw blurRad="317500" algn="ctr" rotWithShape="0">
              <a:prstClr val="black">
                <a:alpha val="25000"/>
              </a:prstClr>
            </a:outerShdw>
          </a:effectLst>
        </c:spPr>
        <c:dLbl>
          <c:idx val="0"/>
          <c:layout>
            <c:manualLayout>
              <c:x val="0.13449581274624486"/>
              <c:y val="-1.1021799358413532E-3"/>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8625"/>
                  <c:h val="0.35634259259259254"/>
                </c:manualLayout>
              </c15:layout>
            </c:ext>
          </c:extLst>
        </c:dLbl>
      </c:pivotFmt>
      <c:pivotFmt>
        <c:idx val="3"/>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1"/>
          </a:solidFill>
          <a:ln>
            <a:noFill/>
          </a:ln>
          <a:effectLst>
            <a:outerShdw blurRad="317500" algn="ctr" rotWithShape="0">
              <a:prstClr val="black">
                <a:alpha val="25000"/>
              </a:prstClr>
            </a:outerShdw>
          </a:effectLst>
        </c:spPr>
        <c:dLbl>
          <c:idx val="0"/>
          <c:layout>
            <c:manualLayout>
              <c:x val="-0.27914404269311127"/>
              <c:y val="2.2195975503062116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087915573053368"/>
                  <c:h val="0.31004629629629632"/>
                </c:manualLayout>
              </c15:layout>
            </c:ext>
          </c:extLst>
        </c:dLbl>
      </c:pivotFmt>
      <c:pivotFmt>
        <c:idx val="5"/>
        <c:spPr>
          <a:solidFill>
            <a:schemeClr val="accent1"/>
          </a:solidFill>
          <a:ln>
            <a:noFill/>
          </a:ln>
          <a:effectLst>
            <a:outerShdw blurRad="317500" algn="ctr" rotWithShape="0">
              <a:prstClr val="black">
                <a:alpha val="25000"/>
              </a:prstClr>
            </a:outerShdw>
          </a:effectLst>
        </c:spPr>
        <c:dLbl>
          <c:idx val="0"/>
          <c:layout>
            <c:manualLayout>
              <c:x val="0.13449581274624486"/>
              <c:y val="-1.1021799358413532E-3"/>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8625"/>
                  <c:h val="0.35634259259259254"/>
                </c:manualLayout>
              </c15:layout>
            </c:ext>
          </c:extLst>
        </c:dLbl>
      </c:pivotFmt>
      <c:pivotFmt>
        <c:idx val="6"/>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outerShdw blurRad="317500" algn="ctr" rotWithShape="0">
              <a:prstClr val="black">
                <a:alpha val="25000"/>
              </a:prstClr>
            </a:outerShdw>
          </a:effectLst>
        </c:spPr>
        <c:dLbl>
          <c:idx val="0"/>
          <c:layout>
            <c:manualLayout>
              <c:x val="-0.20259119095652725"/>
              <c:y val="-5.0754684973512475E-3"/>
            </c:manualLayout>
          </c:layout>
          <c:spPr>
            <a:noFill/>
            <a:ln>
              <a:noFill/>
            </a:ln>
            <a:effectLst/>
          </c:spPr>
          <c:txPr>
            <a:bodyPr rot="0" spcFirstLastPara="1" vertOverflow="ellipsis" vert="horz" wrap="square" lIns="38100" tIns="19050" rIns="38100" bIns="19050" anchor="ctr" anchorCtr="1">
              <a:noAutofit/>
            </a:bodyPr>
            <a:lstStyle/>
            <a:p>
              <a:pPr>
                <a:defRPr sz="15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6565941759170247"/>
                  <c:h val="0.31004636121376622"/>
                </c:manualLayout>
              </c15:layout>
            </c:ext>
          </c:extLst>
        </c:dLbl>
      </c:pivotFmt>
      <c:pivotFmt>
        <c:idx val="8"/>
        <c:spPr>
          <a:solidFill>
            <a:schemeClr val="accent1"/>
          </a:solidFill>
          <a:ln>
            <a:noFill/>
          </a:ln>
          <a:effectLst>
            <a:outerShdw blurRad="317500" algn="ctr" rotWithShape="0">
              <a:prstClr val="black">
                <a:alpha val="25000"/>
              </a:prstClr>
            </a:outerShdw>
          </a:effectLst>
        </c:spPr>
        <c:dLbl>
          <c:idx val="0"/>
          <c:layout>
            <c:manualLayout>
              <c:x val="0.1694914028246558"/>
              <c:y val="-3.3827795684262738E-2"/>
            </c:manualLayout>
          </c:layout>
          <c:spPr>
            <a:noFill/>
            <a:ln>
              <a:noFill/>
            </a:ln>
            <a:effectLst/>
          </c:spPr>
          <c:txPr>
            <a:bodyPr rot="0" spcFirstLastPara="1" vertOverflow="ellipsis" vert="horz" wrap="square" lIns="38100" tIns="19050" rIns="38100" bIns="19050" anchor="ctr" anchorCtr="1">
              <a:noAutofit/>
            </a:bodyPr>
            <a:lstStyle/>
            <a:p>
              <a:pPr>
                <a:defRPr sz="15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8625"/>
                  <c:h val="0.35634259259259254"/>
                </c:manualLayout>
              </c15:layout>
            </c:ext>
          </c:extLst>
        </c:dLbl>
      </c:pivotFmt>
    </c:pivotFmts>
    <c:plotArea>
      <c:layout/>
      <c:pieChart>
        <c:varyColors val="1"/>
        <c:ser>
          <c:idx val="0"/>
          <c:order val="0"/>
          <c:tx>
            <c:strRef>
              <c:f>Sheet5!$B$3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36A0-4A98-B2EA-8AACF332EC23}"/>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36A0-4A98-B2EA-8AACF332EC23}"/>
              </c:ext>
            </c:extLst>
          </c:dPt>
          <c:dLbls>
            <c:dLbl>
              <c:idx val="0"/>
              <c:layout>
                <c:manualLayout>
                  <c:x val="-0.20259119095652725"/>
                  <c:y val="-5.0754684973512475E-3"/>
                </c:manualLayout>
              </c:layout>
              <c:spPr>
                <a:noFill/>
                <a:ln>
                  <a:noFill/>
                </a:ln>
                <a:effectLst/>
              </c:spPr>
              <c:txPr>
                <a:bodyPr rot="0" spcFirstLastPara="1" vertOverflow="ellipsis" vert="horz" wrap="square" lIns="38100" tIns="19050" rIns="38100" bIns="19050" anchor="ctr" anchorCtr="1">
                  <a:noAutofit/>
                </a:bodyPr>
                <a:lstStyle/>
                <a:p>
                  <a:pPr>
                    <a:defRPr sz="15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6565941759170247"/>
                      <c:h val="0.31004636121376622"/>
                    </c:manualLayout>
                  </c15:layout>
                </c:ext>
                <c:ext xmlns:c16="http://schemas.microsoft.com/office/drawing/2014/chart" uri="{C3380CC4-5D6E-409C-BE32-E72D297353CC}">
                  <c16:uniqueId val="{00000001-36A0-4A98-B2EA-8AACF332EC23}"/>
                </c:ext>
              </c:extLst>
            </c:dLbl>
            <c:dLbl>
              <c:idx val="1"/>
              <c:layout>
                <c:manualLayout>
                  <c:x val="0.1694914028246558"/>
                  <c:y val="-3.3827795684262738E-2"/>
                </c:manualLayout>
              </c:layout>
              <c:spPr>
                <a:noFill/>
                <a:ln>
                  <a:noFill/>
                </a:ln>
                <a:effectLst/>
              </c:spPr>
              <c:txPr>
                <a:bodyPr rot="0" spcFirstLastPara="1" vertOverflow="ellipsis" vert="horz" wrap="square" lIns="38100" tIns="19050" rIns="38100" bIns="19050" anchor="ctr" anchorCtr="1">
                  <a:noAutofit/>
                </a:bodyPr>
                <a:lstStyle/>
                <a:p>
                  <a:pPr>
                    <a:defRPr sz="15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8625"/>
                      <c:h val="0.35634259259259254"/>
                    </c:manualLayout>
                  </c15:layout>
                </c:ext>
                <c:ext xmlns:c16="http://schemas.microsoft.com/office/drawing/2014/chart" uri="{C3380CC4-5D6E-409C-BE32-E72D297353CC}">
                  <c16:uniqueId val="{00000003-36A0-4A98-B2EA-8AACF332EC23}"/>
                </c:ext>
              </c:extLst>
            </c:dLbl>
            <c:spPr>
              <a:no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Sheet5!$A$4:$A$5</c:f>
              <c:strCache>
                <c:ptCount val="2"/>
                <c:pt idx="0">
                  <c:v>Female</c:v>
                </c:pt>
                <c:pt idx="1">
                  <c:v>Male</c:v>
                </c:pt>
              </c:strCache>
            </c:strRef>
          </c:cat>
          <c:val>
            <c:numRef>
              <c:f>Sheet5!$B$4:$B$5</c:f>
              <c:numCache>
                <c:formatCode>General</c:formatCode>
                <c:ptCount val="2"/>
                <c:pt idx="0">
                  <c:v>12633500</c:v>
                </c:pt>
                <c:pt idx="1">
                  <c:v>13016000</c:v>
                </c:pt>
              </c:numCache>
            </c:numRef>
          </c:val>
          <c:extLst>
            <c:ext xmlns:c16="http://schemas.microsoft.com/office/drawing/2014/chart" uri="{C3380CC4-5D6E-409C-BE32-E72D297353CC}">
              <c16:uniqueId val="{00000005-4775-4529-9945-071A6EBDB57F}"/>
            </c:ext>
          </c:extLst>
        </c:ser>
        <c:dLbls>
          <c:dLblPos val="inEnd"/>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[Electronics Store Annual Report Excel Project.xltx]Sheet6!PivotTable4</c:name>
    <c:fmtId val="12"/>
  </c:pivotSource>
  <c:chart>
    <c:autoTitleDeleted val="1"/>
    <c:pivotFmts>
      <c:pivotFmt>
        <c:idx val="0"/>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spc="0" baseline="0">
                  <a:solidFill>
                    <a:schemeClr val="accen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spc="0" baseline="0">
                  <a:solidFill>
                    <a:schemeClr val="accen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3"/>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spc="0" baseline="0">
                  <a:solidFill>
                    <a:schemeClr val="accen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2"/>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spc="0" baseline="0">
                  <a:solidFill>
                    <a:schemeClr val="accen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spc="0" baseline="0">
                  <a:solidFill>
                    <a:schemeClr val="accen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spc="0" baseline="0">
                  <a:solidFill>
                    <a:schemeClr val="accen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spc="0" baseline="0">
                  <a:solidFill>
                    <a:schemeClr val="accen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spc="0" baseline="0">
                  <a:solidFill>
                    <a:schemeClr val="accen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1"/>
          </a:solidFill>
          <a:ln>
            <a:noFill/>
          </a:ln>
          <a:effectLst>
            <a:outerShdw blurRad="63500" sx="102000" sy="102000" algn="ctr"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a:outerShdw blurRad="63500" sx="102000" sy="102000" algn="ctr" rotWithShape="0">
              <a:prstClr val="black">
                <a:alpha val="20000"/>
              </a:prstClr>
            </a:outerShdw>
          </a:effectLst>
        </c:spPr>
        <c:dLbl>
          <c:idx val="0"/>
          <c:layout>
            <c:manualLayout>
              <c:x val="2.0242914979757085E-2"/>
              <c:y val="-0.125"/>
            </c:manualLayout>
          </c:layout>
          <c:spPr>
            <a:noFill/>
            <a:ln>
              <a:noFill/>
            </a:ln>
            <a:effectLst/>
          </c:spPr>
          <c:txPr>
            <a:bodyPr rot="0" spcFirstLastPara="1" vertOverflow="ellipsis" vert="horz" wrap="square" lIns="38100" tIns="19050" rIns="38100" bIns="19050" anchor="ctr" anchorCtr="1">
              <a:spAutoFit/>
            </a:bodyPr>
            <a:lstStyle/>
            <a:p>
              <a:pPr>
                <a:defRPr sz="1500" b="1" i="0" u="none" strike="noStrike" kern="1200" spc="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a:outerShdw blurRad="63500" sx="102000" sy="102000" algn="ctr" rotWithShape="0">
              <a:prstClr val="black">
                <a:alpha val="20000"/>
              </a:prstClr>
            </a:outerShdw>
          </a:effectLst>
        </c:spPr>
        <c:dLbl>
          <c:idx val="0"/>
          <c:layout>
            <c:manualLayout>
              <c:x val="-0.1417004048582996"/>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1500" b="1" i="0" u="none" strike="noStrike" kern="1200" spc="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layout>
                <c:manualLayout>
                  <c:w val="0.23341754598488951"/>
                  <c:h val="0.26819444444444446"/>
                </c:manualLayout>
              </c15:layout>
            </c:ext>
          </c:extLst>
        </c:dLbl>
      </c:pivotFmt>
    </c:pivotFmts>
    <c:plotArea>
      <c:layout/>
      <c:pieChart>
        <c:varyColors val="1"/>
        <c:ser>
          <c:idx val="0"/>
          <c:order val="0"/>
          <c:tx>
            <c:strRef>
              <c:f>Sheet6!$B$3</c:f>
              <c:strCache>
                <c:ptCount val="1"/>
                <c:pt idx="0">
                  <c:v>Total</c:v>
                </c:pt>
              </c:strCache>
            </c:strRef>
          </c:tx>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FB5C-4C3D-A73A-7FDDF780D26D}"/>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FB5C-4C3D-A73A-7FDDF780D26D}"/>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FB5C-4C3D-A73A-7FDDF780D26D}"/>
              </c:ext>
            </c:extLst>
          </c:dPt>
          <c:dLbls>
            <c:dLbl>
              <c:idx val="0"/>
              <c:layout>
                <c:manualLayout>
                  <c:x val="2.0242914979757085E-2"/>
                  <c:y val="-0.125"/>
                </c:manualLayout>
              </c:layout>
              <c:spPr>
                <a:noFill/>
                <a:ln>
                  <a:noFill/>
                </a:ln>
                <a:effectLst/>
              </c:spPr>
              <c:txPr>
                <a:bodyPr rot="0" spcFirstLastPara="1" vertOverflow="ellipsis" vert="horz" wrap="square" lIns="38100" tIns="19050" rIns="38100" bIns="19050" anchor="ctr" anchorCtr="1">
                  <a:spAutoFit/>
                </a:bodyPr>
                <a:lstStyle/>
                <a:p>
                  <a:pPr>
                    <a:defRPr sz="1500" b="1" i="0" u="none" strike="noStrike" kern="1200" spc="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B5C-4C3D-A73A-7FDDF780D26D}"/>
                </c:ext>
              </c:extLst>
            </c:dLbl>
            <c:dLbl>
              <c:idx val="1"/>
              <c:layout>
                <c:manualLayout>
                  <c:x val="-0.1417004048582996"/>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1500" b="1" i="0" u="none" strike="noStrike" kern="1200" spc="0" baseline="0">
                      <a:solidFill>
                        <a:schemeClr val="accent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B5C-4C3D-A73A-7FDDF780D26D}"/>
                </c:ext>
              </c:extLst>
            </c:dLbl>
            <c:dLbl>
              <c:idx val="2"/>
              <c:spPr>
                <a:noFill/>
                <a:ln>
                  <a:noFill/>
                </a:ln>
                <a:effectLst/>
              </c:spPr>
              <c:txPr>
                <a:bodyPr rot="0" spcFirstLastPara="1" vertOverflow="ellipsis" vert="horz" wrap="square" lIns="38100" tIns="19050" rIns="38100" bIns="19050" anchor="ctr" anchorCtr="1">
                  <a:spAutoFit/>
                </a:bodyPr>
                <a:lstStyle/>
                <a:p>
                  <a:pPr>
                    <a:defRPr sz="1500" b="1" i="0" u="none" strike="noStrike" kern="1200" spc="0" baseline="0">
                      <a:solidFill>
                        <a:schemeClr val="accent3"/>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layout>
                    <c:manualLayout>
                      <c:w val="0.23341754598488951"/>
                      <c:h val="0.26819444444444446"/>
                    </c:manualLayout>
                  </c15:layout>
                </c:ext>
                <c:ext xmlns:c16="http://schemas.microsoft.com/office/drawing/2014/chart" uri="{C3380CC4-5D6E-409C-BE32-E72D297353CC}">
                  <c16:uniqueId val="{00000005-FB5C-4C3D-A73A-7FDDF780D26D}"/>
                </c:ext>
              </c:extLst>
            </c:dLbl>
            <c:spPr>
              <a:noFill/>
              <a:ln>
                <a:noFill/>
              </a:ln>
              <a:effectLst/>
            </c:spPr>
            <c:txPr>
              <a:bodyPr rot="0" spcFirstLastPara="1" vertOverflow="ellipsis" vert="horz" wrap="square" lIns="38100" tIns="19050" rIns="38100" bIns="19050" anchor="ctr" anchorCtr="1">
                <a:spAutoFit/>
              </a:bodyPr>
              <a:lstStyle/>
              <a:p>
                <a:pPr>
                  <a:defRPr sz="15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Sheet6!$A$4:$A$6</c:f>
              <c:strCache>
                <c:ptCount val="3"/>
                <c:pt idx="0">
                  <c:v>Adult</c:v>
                </c:pt>
                <c:pt idx="1">
                  <c:v>Senior</c:v>
                </c:pt>
                <c:pt idx="2">
                  <c:v>Teenager</c:v>
                </c:pt>
              </c:strCache>
            </c:strRef>
          </c:cat>
          <c:val>
            <c:numRef>
              <c:f>Sheet6!$B$4:$B$6</c:f>
              <c:numCache>
                <c:formatCode>General</c:formatCode>
                <c:ptCount val="3"/>
                <c:pt idx="0">
                  <c:v>214</c:v>
                </c:pt>
                <c:pt idx="1">
                  <c:v>151</c:v>
                </c:pt>
                <c:pt idx="2">
                  <c:v>135</c:v>
                </c:pt>
              </c:numCache>
            </c:numRef>
          </c:val>
          <c:extLst>
            <c:ext xmlns:c16="http://schemas.microsoft.com/office/drawing/2014/chart" uri="{C3380CC4-5D6E-409C-BE32-E72D297353CC}">
              <c16:uniqueId val="{00000009-DB35-4768-9448-476CF4D98D00}"/>
            </c:ext>
          </c:extLst>
        </c:ser>
        <c:dLbls>
          <c:dLblPos val="out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[Electronics Store Annual Report Excel Project.xltx]Sheet7!PivotTable5</c:name>
    <c:fmtId val="7"/>
  </c:pivotSource>
  <c:chart>
    <c:title>
      <c:tx>
        <c:rich>
          <a:bodyPr rot="0" spcFirstLastPara="1" vertOverflow="ellipsis" vert="horz" wrap="square" anchor="ctr" anchorCtr="1"/>
          <a:lstStyle/>
          <a:p>
            <a:pPr>
              <a:defRPr sz="1800" b="0" i="0" u="none" strike="noStrike" kern="1200" cap="none" spc="20" baseline="0">
                <a:solidFill>
                  <a:schemeClr val="tx1">
                    <a:lumMod val="50000"/>
                    <a:lumOff val="50000"/>
                  </a:schemeClr>
                </a:solidFill>
                <a:latin typeface="+mn-lt"/>
                <a:ea typeface="+mn-ea"/>
                <a:cs typeface="+mn-cs"/>
              </a:defRPr>
            </a:pPr>
            <a:r>
              <a:rPr lang="en-US" sz="1800" baseline="0"/>
              <a:t>Sales: Top 5 States</a:t>
            </a:r>
          </a:p>
        </c:rich>
      </c:tx>
      <c:overlay val="0"/>
      <c:spPr>
        <a:noFill/>
        <a:ln>
          <a:noFill/>
        </a:ln>
        <a:effectLst/>
      </c:spPr>
      <c:txPr>
        <a:bodyPr rot="0" spcFirstLastPara="1" vertOverflow="ellipsis" vert="horz" wrap="square" anchor="ctr" anchorCtr="1"/>
        <a:lstStyle/>
        <a:p>
          <a:pPr>
            <a:defRPr sz="18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a:outerShdw blurRad="40000" dist="20000" dir="5400000" rotWithShape="0">
              <a:srgbClr val="000000">
                <a:alpha val="38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545390575400495"/>
          <c:y val="0.24412135029120946"/>
          <c:w val="0.76258287954723269"/>
          <c:h val="0.65032897786461008"/>
        </c:manualLayout>
      </c:layout>
      <c:barChart>
        <c:barDir val="bar"/>
        <c:grouping val="clustered"/>
        <c:varyColors val="0"/>
        <c:ser>
          <c:idx val="0"/>
          <c:order val="0"/>
          <c:tx>
            <c:strRef>
              <c:f>Sheet7!$B$3</c:f>
              <c:strCache>
                <c:ptCount val="1"/>
                <c:pt idx="0">
                  <c:v>Total</c:v>
                </c:pt>
              </c:strCache>
            </c:strRef>
          </c:tx>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a:outerShdw blurRad="40000" dist="20000" dir="5400000" rotWithShape="0">
                <a:srgbClr val="000000">
                  <a:alpha val="38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Sheet7!$A$4:$A$8</c:f>
              <c:strCache>
                <c:ptCount val="5"/>
                <c:pt idx="0">
                  <c:v>Gujarat</c:v>
                </c:pt>
                <c:pt idx="1">
                  <c:v>Rajasthan</c:v>
                </c:pt>
                <c:pt idx="2">
                  <c:v>Delhi</c:v>
                </c:pt>
                <c:pt idx="3">
                  <c:v>Maharashtra</c:v>
                </c:pt>
                <c:pt idx="4">
                  <c:v>Karnataka</c:v>
                </c:pt>
              </c:strCache>
            </c:strRef>
          </c:cat>
          <c:val>
            <c:numRef>
              <c:f>Sheet7!$B$4:$B$8</c:f>
              <c:numCache>
                <c:formatCode>General</c:formatCode>
                <c:ptCount val="5"/>
                <c:pt idx="0">
                  <c:v>4588000</c:v>
                </c:pt>
                <c:pt idx="1">
                  <c:v>3937000</c:v>
                </c:pt>
                <c:pt idx="2">
                  <c:v>3937000</c:v>
                </c:pt>
                <c:pt idx="3">
                  <c:v>3590000</c:v>
                </c:pt>
                <c:pt idx="4">
                  <c:v>3582500</c:v>
                </c:pt>
              </c:numCache>
            </c:numRef>
          </c:val>
          <c:extLst>
            <c:ext xmlns:c16="http://schemas.microsoft.com/office/drawing/2014/chart" uri="{C3380CC4-5D6E-409C-BE32-E72D297353CC}">
              <c16:uniqueId val="{00000001-F969-4FAE-9584-29BB2F26598C}"/>
            </c:ext>
          </c:extLst>
        </c:ser>
        <c:dLbls>
          <c:dLblPos val="inEnd"/>
          <c:showLegendKey val="0"/>
          <c:showVal val="1"/>
          <c:showCatName val="0"/>
          <c:showSerName val="0"/>
          <c:showPercent val="0"/>
          <c:showBubbleSize val="0"/>
        </c:dLbls>
        <c:gapWidth val="100"/>
        <c:axId val="1274766655"/>
        <c:axId val="1274768095"/>
      </c:barChart>
      <c:catAx>
        <c:axId val="12747666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274768095"/>
        <c:crosses val="autoZero"/>
        <c:auto val="1"/>
        <c:lblAlgn val="ctr"/>
        <c:lblOffset val="100"/>
        <c:noMultiLvlLbl val="0"/>
      </c:catAx>
      <c:valAx>
        <c:axId val="1274768095"/>
        <c:scaling>
          <c:orientation val="minMax"/>
        </c:scaling>
        <c:delete val="0"/>
        <c:axPos val="b"/>
        <c:majorGridlines>
          <c:spPr>
            <a:ln w="9525" cap="flat" cmpd="sng" algn="ctr">
              <a:solidFill>
                <a:schemeClr val="tx1">
                  <a:lumMod val="15000"/>
                  <a:lumOff val="85000"/>
                </a:schemeClr>
              </a:solidFill>
              <a:round/>
            </a:ln>
            <a:effectLst/>
          </c:spPr>
        </c:majorGridlines>
        <c:numFmt formatCode="0.00,,\ &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2747666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[Electronics Store Annual Report Excel Project.xltx]Sheet8!PivotTable6</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Order:</a:t>
            </a:r>
            <a:r>
              <a:rPr lang="en-IN" baseline="0"/>
              <a:t> Age Vs Gender</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116987436449592"/>
          <c:y val="0.19197722567287784"/>
          <c:w val="0.80344891716167943"/>
          <c:h val="0.68794892486265302"/>
        </c:manualLayout>
      </c:layout>
      <c:barChart>
        <c:barDir val="col"/>
        <c:grouping val="clustered"/>
        <c:varyColors val="0"/>
        <c:ser>
          <c:idx val="0"/>
          <c:order val="0"/>
          <c:tx>
            <c:strRef>
              <c:f>Sheet8!$B$3:$B$4</c:f>
              <c:strCache>
                <c:ptCount val="1"/>
                <c:pt idx="0">
                  <c:v>Female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Sheet8!$A$5:$A$7</c:f>
              <c:strCache>
                <c:ptCount val="3"/>
                <c:pt idx="0">
                  <c:v>Adult</c:v>
                </c:pt>
                <c:pt idx="1">
                  <c:v>Senior</c:v>
                </c:pt>
                <c:pt idx="2">
                  <c:v>Teenager</c:v>
                </c:pt>
              </c:strCache>
            </c:strRef>
          </c:cat>
          <c:val>
            <c:numRef>
              <c:f>Sheet8!$B$5:$B$7</c:f>
              <c:numCache>
                <c:formatCode>0.00%</c:formatCode>
                <c:ptCount val="3"/>
                <c:pt idx="0">
                  <c:v>0.22</c:v>
                </c:pt>
                <c:pt idx="1">
                  <c:v>0.14399999999999999</c:v>
                </c:pt>
                <c:pt idx="2">
                  <c:v>0.13600000000000001</c:v>
                </c:pt>
              </c:numCache>
            </c:numRef>
          </c:val>
          <c:extLst>
            <c:ext xmlns:c16="http://schemas.microsoft.com/office/drawing/2014/chart" uri="{C3380CC4-5D6E-409C-BE32-E72D297353CC}">
              <c16:uniqueId val="{00000004-08CE-41BF-8762-F3A83FD63D2D}"/>
            </c:ext>
          </c:extLst>
        </c:ser>
        <c:ser>
          <c:idx val="1"/>
          <c:order val="1"/>
          <c:tx>
            <c:strRef>
              <c:f>Sheet8!$C$3:$C$4</c:f>
              <c:strCache>
                <c:ptCount val="1"/>
                <c:pt idx="0">
                  <c:v>Male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Sheet8!$A$5:$A$7</c:f>
              <c:strCache>
                <c:ptCount val="3"/>
                <c:pt idx="0">
                  <c:v>Adult</c:v>
                </c:pt>
                <c:pt idx="1">
                  <c:v>Senior</c:v>
                </c:pt>
                <c:pt idx="2">
                  <c:v>Teenager</c:v>
                </c:pt>
              </c:strCache>
            </c:strRef>
          </c:cat>
          <c:val>
            <c:numRef>
              <c:f>Sheet8!$C$5:$C$7</c:f>
              <c:numCache>
                <c:formatCode>0.00%</c:formatCode>
                <c:ptCount val="3"/>
                <c:pt idx="0">
                  <c:v>0.20799999999999999</c:v>
                </c:pt>
                <c:pt idx="1">
                  <c:v>0.158</c:v>
                </c:pt>
                <c:pt idx="2">
                  <c:v>0.13400000000000001</c:v>
                </c:pt>
              </c:numCache>
            </c:numRef>
          </c:val>
          <c:extLst>
            <c:ext xmlns:c16="http://schemas.microsoft.com/office/drawing/2014/chart" uri="{C3380CC4-5D6E-409C-BE32-E72D297353CC}">
              <c16:uniqueId val="{00000007-08CE-41BF-8762-F3A83FD63D2D}"/>
            </c:ext>
          </c:extLst>
        </c:ser>
        <c:dLbls>
          <c:dLblPos val="outEnd"/>
          <c:showLegendKey val="0"/>
          <c:showVal val="1"/>
          <c:showCatName val="0"/>
          <c:showSerName val="0"/>
          <c:showPercent val="0"/>
          <c:showBubbleSize val="0"/>
        </c:dLbls>
        <c:gapWidth val="219"/>
        <c:overlap val="-27"/>
        <c:axId val="1988384415"/>
        <c:axId val="1988385375"/>
      </c:barChart>
      <c:catAx>
        <c:axId val="1988384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8385375"/>
        <c:crosses val="autoZero"/>
        <c:auto val="1"/>
        <c:lblAlgn val="ctr"/>
        <c:lblOffset val="100"/>
        <c:noMultiLvlLbl val="0"/>
      </c:catAx>
      <c:valAx>
        <c:axId val="198838537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8384415"/>
        <c:crosses val="autoZero"/>
        <c:crossBetween val="between"/>
      </c:valAx>
      <c:spPr>
        <a:noFill/>
        <a:ln>
          <a:noFill/>
        </a:ln>
        <a:effectLst/>
      </c:spPr>
    </c:plotArea>
    <c:legend>
      <c:legendPos val="r"/>
      <c:layout>
        <c:manualLayout>
          <c:xMode val="edge"/>
          <c:yMode val="edge"/>
          <c:x val="0.74443073272330251"/>
          <c:y val="0.1399626677100145"/>
          <c:w val="0.17933326858793416"/>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[Electronics Store Annual Report Excel Project.xltx]Sheet9!PivotTable7</c:name>
    <c:fmtId val="9"/>
  </c:pivotSource>
  <c:chart>
    <c:title>
      <c:tx>
        <c:rich>
          <a:bodyPr rot="0" spcFirstLastPara="1" vertOverflow="ellipsis" vert="horz" wrap="square" anchor="ctr" anchorCtr="1"/>
          <a:lstStyle/>
          <a:p>
            <a:pPr>
              <a:defRPr sz="1500" b="0" i="0" u="none" strike="noStrike" kern="1200" baseline="0">
                <a:solidFill>
                  <a:schemeClr val="dk1">
                    <a:lumMod val="65000"/>
                    <a:lumOff val="35000"/>
                  </a:schemeClr>
                </a:solidFill>
                <a:latin typeface="+mn-lt"/>
                <a:ea typeface="+mn-ea"/>
                <a:cs typeface="+mn-cs"/>
              </a:defRPr>
            </a:pPr>
            <a:r>
              <a:rPr lang="en-IN" sz="1500" b="0" i="0" baseline="0"/>
              <a:t>Orders: Channels</a:t>
            </a:r>
          </a:p>
        </c:rich>
      </c:tx>
      <c:overlay val="0"/>
      <c:spPr>
        <a:noFill/>
        <a:ln>
          <a:noFill/>
        </a:ln>
        <a:effectLst/>
      </c:spPr>
      <c:txPr>
        <a:bodyPr rot="0" spcFirstLastPara="1" vertOverflow="ellipsis" vert="horz" wrap="square" anchor="ctr" anchorCtr="1"/>
        <a:lstStyle/>
        <a:p>
          <a:pPr>
            <a:defRPr sz="1500" b="0"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317500" algn="ctr" rotWithShape="0">
              <a:prstClr val="black">
                <a:alpha val="25000"/>
              </a:prstClr>
            </a:outerShdw>
          </a:effectLst>
        </c:spPr>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accent1"/>
          </a:solidFill>
          <a:ln>
            <a:noFill/>
          </a:ln>
          <a:effectLst>
            <a:outerShdw blurRad="317500" algn="ctr" rotWithShape="0">
              <a:prstClr val="black">
                <a:alpha val="25000"/>
              </a:prstClr>
            </a:outerShdw>
          </a:effectLst>
        </c:spPr>
      </c:pivotFmt>
      <c:pivotFmt>
        <c:idx val="5"/>
        <c:spPr>
          <a:solidFill>
            <a:schemeClr val="accent1"/>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pivotFmt>
      <c:pivotFmt>
        <c:idx val="7"/>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317500" algn="ctr" rotWithShape="0">
              <a:prstClr val="black">
                <a:alpha val="25000"/>
              </a:prstClr>
            </a:outerShdw>
          </a:effectLst>
        </c:spPr>
        <c:dLbl>
          <c:idx val="0"/>
          <c:layout>
            <c:manualLayout>
              <c:x val="-0.18028351115873839"/>
              <c:y val="0.21798916860744516"/>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17470414201183432"/>
                  <c:h val="0.16085680751173709"/>
                </c:manualLayout>
              </c15:layout>
            </c:ext>
          </c:extLst>
        </c:dLbl>
      </c:pivotFmt>
      <c:pivotFmt>
        <c:idx val="9"/>
        <c:spPr>
          <a:solidFill>
            <a:schemeClr val="accent1"/>
          </a:solidFill>
          <a:ln>
            <a:noFill/>
          </a:ln>
          <a:effectLst>
            <a:outerShdw blurRad="317500" algn="ctr" rotWithShape="0">
              <a:prstClr val="black">
                <a:alpha val="25000"/>
              </a:prstClr>
            </a:outerShdw>
          </a:effectLst>
        </c:spPr>
      </c:pivotFmt>
      <c:pivotFmt>
        <c:idx val="10"/>
        <c:spPr>
          <a:solidFill>
            <a:schemeClr val="accent1"/>
          </a:solidFill>
          <a:ln>
            <a:noFill/>
          </a:ln>
          <a:effectLst>
            <a:outerShdw blurRad="317500" algn="ctr" rotWithShape="0">
              <a:prstClr val="black">
                <a:alpha val="25000"/>
              </a:prstClr>
            </a:outerShdw>
          </a:effectLst>
        </c:spPr>
      </c:pivotFmt>
      <c:pivotFmt>
        <c:idx val="11"/>
        <c:spPr>
          <a:solidFill>
            <a:schemeClr val="accent1"/>
          </a:solidFill>
          <a:ln>
            <a:noFill/>
          </a:ln>
          <a:effectLst>
            <a:outerShdw blurRad="317500" algn="ctr" rotWithShape="0">
              <a:prstClr val="black">
                <a:alpha val="25000"/>
              </a:prstClr>
            </a:outerShdw>
          </a:effectLst>
        </c:spPr>
      </c:pivotFmt>
      <c:pivotFmt>
        <c:idx val="12"/>
        <c:spPr>
          <a:solidFill>
            <a:schemeClr val="accent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layout>
                <c:manualLayout>
                  <c:w val="0.2455128205128205"/>
                  <c:h val="0.23248262541126022"/>
                </c:manualLayout>
              </c15:layout>
            </c:ext>
          </c:extLst>
        </c:dLbl>
      </c:pivotFmt>
    </c:pivotFmts>
    <c:plotArea>
      <c:layout/>
      <c:pieChart>
        <c:varyColors val="1"/>
        <c:ser>
          <c:idx val="0"/>
          <c:order val="0"/>
          <c:tx>
            <c:strRef>
              <c:f>Sheet9!$B$3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CDC8-45E4-BD75-6D5EA7B99388}"/>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CDC8-45E4-BD75-6D5EA7B99388}"/>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CDC8-45E4-BD75-6D5EA7B99388}"/>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CDC8-45E4-BD75-6D5EA7B99388}"/>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CDC8-45E4-BD75-6D5EA7B99388}"/>
              </c:ext>
            </c:extLst>
          </c:dPt>
          <c:dLbls>
            <c:dLbl>
              <c:idx val="0"/>
              <c:layout>
                <c:manualLayout>
                  <c:x val="-0.18028351115873839"/>
                  <c:y val="0.21798916860744516"/>
                </c:manualLayout>
              </c:layout>
              <c:dLblPos val="bestFit"/>
              <c:showLegendKey val="0"/>
              <c:showVal val="0"/>
              <c:showCatName val="1"/>
              <c:showSerName val="0"/>
              <c:showPercent val="1"/>
              <c:showBubbleSize val="0"/>
              <c:extLst>
                <c:ext xmlns:c15="http://schemas.microsoft.com/office/drawing/2012/chart" uri="{CE6537A1-D6FC-4f65-9D91-7224C49458BB}">
                  <c15:layout>
                    <c:manualLayout>
                      <c:w val="0.17470414201183432"/>
                      <c:h val="0.16085680751173709"/>
                    </c:manualLayout>
                  </c15:layout>
                </c:ext>
                <c:ext xmlns:c16="http://schemas.microsoft.com/office/drawing/2014/chart" uri="{C3380CC4-5D6E-409C-BE32-E72D297353CC}">
                  <c16:uniqueId val="{00000001-CDC8-45E4-BD75-6D5EA7B99388}"/>
                </c:ext>
              </c:extLst>
            </c:dLbl>
            <c:dLbl>
              <c:idx val="4"/>
              <c:dLblPos val="inEnd"/>
              <c:showLegendKey val="0"/>
              <c:showVal val="0"/>
              <c:showCatName val="1"/>
              <c:showSerName val="0"/>
              <c:showPercent val="1"/>
              <c:showBubbleSize val="0"/>
              <c:extLst>
                <c:ext xmlns:c15="http://schemas.microsoft.com/office/drawing/2012/chart" uri="{CE6537A1-D6FC-4f65-9D91-7224C49458BB}">
                  <c15:layout>
                    <c:manualLayout>
                      <c:w val="0.2455128205128205"/>
                      <c:h val="0.23248262541126022"/>
                    </c:manualLayout>
                  </c15:layout>
                </c:ext>
                <c:ext xmlns:c16="http://schemas.microsoft.com/office/drawing/2014/chart" uri="{C3380CC4-5D6E-409C-BE32-E72D297353CC}">
                  <c16:uniqueId val="{00000009-CDC8-45E4-BD75-6D5EA7B9938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Sheet9!$A$4:$A$8</c:f>
              <c:strCache>
                <c:ptCount val="5"/>
                <c:pt idx="0">
                  <c:v>Ajio</c:v>
                </c:pt>
                <c:pt idx="1">
                  <c:v>Amazon</c:v>
                </c:pt>
                <c:pt idx="2">
                  <c:v>Flipkart</c:v>
                </c:pt>
                <c:pt idx="3">
                  <c:v>Myntra</c:v>
                </c:pt>
                <c:pt idx="4">
                  <c:v>Snapdeal</c:v>
                </c:pt>
              </c:strCache>
            </c:strRef>
          </c:cat>
          <c:val>
            <c:numRef>
              <c:f>Sheet9!$B$4:$B$8</c:f>
              <c:numCache>
                <c:formatCode>General</c:formatCode>
                <c:ptCount val="5"/>
                <c:pt idx="0">
                  <c:v>110</c:v>
                </c:pt>
                <c:pt idx="1">
                  <c:v>99</c:v>
                </c:pt>
                <c:pt idx="2">
                  <c:v>99</c:v>
                </c:pt>
                <c:pt idx="3">
                  <c:v>76</c:v>
                </c:pt>
                <c:pt idx="4">
                  <c:v>116</c:v>
                </c:pt>
              </c:numCache>
            </c:numRef>
          </c:val>
          <c:extLst>
            <c:ext xmlns:c16="http://schemas.microsoft.com/office/drawing/2014/chart" uri="{C3380CC4-5D6E-409C-BE32-E72D297353CC}">
              <c16:uniqueId val="{0000000B-DC48-4ACD-87D2-714FB9F3C671}"/>
            </c:ext>
          </c:extLst>
        </c:ser>
        <c:dLbls>
          <c:dLblPos val="inEnd"/>
          <c:showLegendKey val="0"/>
          <c:showVal val="0"/>
          <c:showCatName val="1"/>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[Electronics Store Annual Report Excel Project.xltx]Sheet10!PivotTable8</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Order</a:t>
            </a:r>
            <a:r>
              <a:rPr lang="en-IN" baseline="0"/>
              <a:t> Vs Sales</a:t>
            </a:r>
            <a:endParaRPr lang="en-IN"/>
          </a:p>
        </c:rich>
      </c:tx>
      <c:layout>
        <c:manualLayout>
          <c:xMode val="edge"/>
          <c:yMode val="edge"/>
          <c:x val="0.24637163893280739"/>
          <c:y val="8.333333333333332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3348120217367191E-2"/>
          <c:y val="0.27314814814814814"/>
          <c:w val="0.72603627011412308"/>
          <c:h val="0.48336431904345289"/>
        </c:manualLayout>
      </c:layout>
      <c:barChart>
        <c:barDir val="col"/>
        <c:grouping val="clustered"/>
        <c:varyColors val="0"/>
        <c:ser>
          <c:idx val="0"/>
          <c:order val="0"/>
          <c:tx>
            <c:strRef>
              <c:f>Sheet10!$B$3</c:f>
              <c:strCache>
                <c:ptCount val="1"/>
                <c:pt idx="0">
                  <c:v>Count of Order ID</c:v>
                </c:pt>
              </c:strCache>
            </c:strRef>
          </c:tx>
          <c:spPr>
            <a:solidFill>
              <a:schemeClr val="accent1"/>
            </a:solidFill>
            <a:ln>
              <a:noFill/>
            </a:ln>
            <a:effectLst/>
          </c:spPr>
          <c:invertIfNegative val="0"/>
          <c:cat>
            <c:strRef>
              <c:f>Sheet10!$A$4:$A$15</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Sheet10!$B$4:$B$15</c:f>
              <c:numCache>
                <c:formatCode>General</c:formatCode>
                <c:ptCount val="12"/>
                <c:pt idx="0">
                  <c:v>46</c:v>
                </c:pt>
                <c:pt idx="1">
                  <c:v>47</c:v>
                </c:pt>
                <c:pt idx="2">
                  <c:v>44</c:v>
                </c:pt>
                <c:pt idx="3">
                  <c:v>44</c:v>
                </c:pt>
                <c:pt idx="4">
                  <c:v>51</c:v>
                </c:pt>
                <c:pt idx="5">
                  <c:v>38</c:v>
                </c:pt>
                <c:pt idx="6">
                  <c:v>35</c:v>
                </c:pt>
                <c:pt idx="7">
                  <c:v>36</c:v>
                </c:pt>
                <c:pt idx="8">
                  <c:v>39</c:v>
                </c:pt>
                <c:pt idx="9">
                  <c:v>45</c:v>
                </c:pt>
                <c:pt idx="10">
                  <c:v>36</c:v>
                </c:pt>
                <c:pt idx="11">
                  <c:v>39</c:v>
                </c:pt>
              </c:numCache>
            </c:numRef>
          </c:val>
          <c:extLst>
            <c:ext xmlns:c16="http://schemas.microsoft.com/office/drawing/2014/chart" uri="{C3380CC4-5D6E-409C-BE32-E72D297353CC}">
              <c16:uniqueId val="{00000000-478B-4302-AD1C-74779AABC158}"/>
            </c:ext>
          </c:extLst>
        </c:ser>
        <c:dLbls>
          <c:showLegendKey val="0"/>
          <c:showVal val="0"/>
          <c:showCatName val="0"/>
          <c:showSerName val="0"/>
          <c:showPercent val="0"/>
          <c:showBubbleSize val="0"/>
        </c:dLbls>
        <c:gapWidth val="219"/>
        <c:overlap val="-27"/>
        <c:axId val="1950704831"/>
        <c:axId val="830427231"/>
      </c:barChart>
      <c:lineChart>
        <c:grouping val="standard"/>
        <c:varyColors val="0"/>
        <c:ser>
          <c:idx val="1"/>
          <c:order val="1"/>
          <c:tx>
            <c:strRef>
              <c:f>Sheet10!$C$3</c:f>
              <c:strCache>
                <c:ptCount val="1"/>
                <c:pt idx="0">
                  <c:v>Sum of Total Spent</c:v>
                </c:pt>
              </c:strCache>
            </c:strRef>
          </c:tx>
          <c:spPr>
            <a:ln w="28575" cap="rnd">
              <a:solidFill>
                <a:schemeClr val="accent2"/>
              </a:solidFill>
              <a:round/>
            </a:ln>
            <a:effectLst/>
          </c:spPr>
          <c:marker>
            <c:symbol val="none"/>
          </c:marker>
          <c:cat>
            <c:strRef>
              <c:f>Sheet10!$A$4:$A$15</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Sheet10!$C$4:$C$15</c:f>
              <c:numCache>
                <c:formatCode>General</c:formatCode>
                <c:ptCount val="12"/>
                <c:pt idx="0">
                  <c:v>3293000</c:v>
                </c:pt>
                <c:pt idx="1">
                  <c:v>2239000</c:v>
                </c:pt>
                <c:pt idx="2">
                  <c:v>3093000</c:v>
                </c:pt>
                <c:pt idx="3">
                  <c:v>2347000</c:v>
                </c:pt>
                <c:pt idx="4">
                  <c:v>1909000</c:v>
                </c:pt>
                <c:pt idx="5">
                  <c:v>2074500</c:v>
                </c:pt>
                <c:pt idx="6">
                  <c:v>1969000</c:v>
                </c:pt>
                <c:pt idx="7">
                  <c:v>1562000</c:v>
                </c:pt>
                <c:pt idx="8">
                  <c:v>1552000</c:v>
                </c:pt>
                <c:pt idx="9">
                  <c:v>2490000</c:v>
                </c:pt>
                <c:pt idx="10">
                  <c:v>1472000</c:v>
                </c:pt>
                <c:pt idx="11">
                  <c:v>1649000</c:v>
                </c:pt>
              </c:numCache>
            </c:numRef>
          </c:val>
          <c:smooth val="0"/>
          <c:extLst>
            <c:ext xmlns:c16="http://schemas.microsoft.com/office/drawing/2014/chart" uri="{C3380CC4-5D6E-409C-BE32-E72D297353CC}">
              <c16:uniqueId val="{00000001-478B-4302-AD1C-74779AABC158}"/>
            </c:ext>
          </c:extLst>
        </c:ser>
        <c:dLbls>
          <c:showLegendKey val="0"/>
          <c:showVal val="0"/>
          <c:showCatName val="0"/>
          <c:showSerName val="0"/>
          <c:showPercent val="0"/>
          <c:showBubbleSize val="0"/>
        </c:dLbls>
        <c:marker val="1"/>
        <c:smooth val="0"/>
        <c:axId val="830425791"/>
        <c:axId val="830425311"/>
      </c:lineChart>
      <c:catAx>
        <c:axId val="19507048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427231"/>
        <c:crosses val="autoZero"/>
        <c:auto val="1"/>
        <c:lblAlgn val="ctr"/>
        <c:lblOffset val="100"/>
        <c:noMultiLvlLbl val="0"/>
      </c:catAx>
      <c:valAx>
        <c:axId val="8304272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0704831"/>
        <c:crosses val="autoZero"/>
        <c:crossBetween val="between"/>
      </c:valAx>
      <c:valAx>
        <c:axId val="830425311"/>
        <c:scaling>
          <c:orientation val="minMax"/>
        </c:scaling>
        <c:delete val="0"/>
        <c:axPos val="r"/>
        <c:numFmt formatCode="0.00,,&quot;M&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425791"/>
        <c:crosses val="max"/>
        <c:crossBetween val="between"/>
      </c:valAx>
      <c:catAx>
        <c:axId val="830425791"/>
        <c:scaling>
          <c:orientation val="minMax"/>
        </c:scaling>
        <c:delete val="1"/>
        <c:axPos val="b"/>
        <c:numFmt formatCode="General" sourceLinked="1"/>
        <c:majorTickMark val="out"/>
        <c:minorTickMark val="none"/>
        <c:tickLblPos val="nextTo"/>
        <c:crossAx val="830425311"/>
        <c:crosses val="autoZero"/>
        <c:auto val="1"/>
        <c:lblAlgn val="ctr"/>
        <c:lblOffset val="100"/>
        <c:noMultiLvlLbl val="0"/>
      </c:catAx>
      <c:spPr>
        <a:noFill/>
        <a:ln>
          <a:noFill/>
        </a:ln>
        <a:effectLst/>
      </c:spPr>
    </c:plotArea>
    <c:legend>
      <c:legendPos val="r"/>
      <c:layout>
        <c:manualLayout>
          <c:xMode val="edge"/>
          <c:yMode val="edge"/>
          <c:x val="0.55103280251403552"/>
          <c:y val="9.3170749489647139E-2"/>
          <c:w val="0.40370043430669827"/>
          <c:h val="0.1365762613006707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[Electronics Store Annual Report Excel Project.xltx]Sheet6!PivotTable4</c:name>
    <c:fmtId val="0"/>
  </c:pivotSource>
  <c:chart>
    <c:autoTitleDeleted val="1"/>
    <c:pivotFmts>
      <c:pivotFmt>
        <c:idx val="0"/>
        <c:spPr>
          <a:solidFill>
            <a:schemeClr val="accent1"/>
          </a:solidFill>
          <a:ln>
            <a:noFill/>
          </a:ln>
          <a:effectLst>
            <a:outerShdw blurRad="63500" sx="102000" sy="102000" algn="ctr"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63500" sx="102000" sy="102000" algn="ctr" rotWithShape="0">
              <a:prstClr val="black">
                <a:alpha val="20000"/>
              </a:prstClr>
            </a:outerShdw>
          </a:effectLst>
        </c:spPr>
        <c:dLbl>
          <c:idx val="0"/>
          <c:layout>
            <c:manualLayout>
              <c:x val="2.0242914979757085E-2"/>
              <c:y val="-0.125"/>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layout>
                <c:manualLayout>
                  <c:w val="0.23341754598488951"/>
                  <c:h val="0.26819444444444446"/>
                </c:manualLayout>
              </c15:layout>
            </c:ext>
          </c:extLst>
        </c:dLbl>
      </c:pivotFmt>
      <c:pivotFmt>
        <c:idx val="3"/>
        <c:spPr>
          <a:solidFill>
            <a:schemeClr val="accent1"/>
          </a:solidFill>
          <a:ln>
            <a:noFill/>
          </a:ln>
          <a:effectLst>
            <a:outerShdw blurRad="63500" sx="102000" sy="102000" algn="ctr" rotWithShape="0">
              <a:prstClr val="black">
                <a:alpha val="20000"/>
              </a:prstClr>
            </a:outerShdw>
          </a:effectLst>
        </c:spPr>
        <c:dLbl>
          <c:idx val="0"/>
          <c:layout>
            <c:manualLayout>
              <c:x val="-0.1417004048582996"/>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Sheet6!$B$3</c:f>
              <c:strCache>
                <c:ptCount val="1"/>
                <c:pt idx="0">
                  <c:v>Total</c:v>
                </c:pt>
              </c:strCache>
            </c:strRef>
          </c:tx>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D964-4BBB-B966-7B8CF07F3BE1}"/>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D964-4BBB-B966-7B8CF07F3BE1}"/>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D964-4BBB-B966-7B8CF07F3BE1}"/>
              </c:ext>
            </c:extLst>
          </c:dPt>
          <c:dLbls>
            <c:dLbl>
              <c:idx val="0"/>
              <c:layout>
                <c:manualLayout>
                  <c:x val="2.0242914979757085E-2"/>
                  <c:y val="-0.125"/>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D964-4BBB-B966-7B8CF07F3BE1}"/>
                </c:ext>
              </c:extLst>
            </c:dLbl>
            <c:dLbl>
              <c:idx val="1"/>
              <c:layout>
                <c:manualLayout>
                  <c:x val="-0.1417004048582996"/>
                  <c:y val="-1.851851851851851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D964-4BBB-B966-7B8CF07F3BE1}"/>
                </c:ext>
              </c:extLst>
            </c:dLbl>
            <c:dLbl>
              <c:idx val="2"/>
              <c:dLblPos val="outEnd"/>
              <c:showLegendKey val="0"/>
              <c:showVal val="0"/>
              <c:showCatName val="1"/>
              <c:showSerName val="0"/>
              <c:showPercent val="1"/>
              <c:showBubbleSize val="0"/>
              <c:extLst>
                <c:ext xmlns:c15="http://schemas.microsoft.com/office/drawing/2012/chart" uri="{CE6537A1-D6FC-4f65-9D91-7224C49458BB}">
                  <c15:layout>
                    <c:manualLayout>
                      <c:w val="0.23341754598488951"/>
                      <c:h val="0.26819444444444446"/>
                    </c:manualLayout>
                  </c15:layout>
                </c:ext>
                <c:ext xmlns:c16="http://schemas.microsoft.com/office/drawing/2014/chart" uri="{C3380CC4-5D6E-409C-BE32-E72D297353CC}">
                  <c16:uniqueId val="{00000005-D964-4BBB-B966-7B8CF07F3BE1}"/>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Sheet6!$A$4:$A$6</c:f>
              <c:strCache>
                <c:ptCount val="3"/>
                <c:pt idx="0">
                  <c:v>Adult</c:v>
                </c:pt>
                <c:pt idx="1">
                  <c:v>Senior</c:v>
                </c:pt>
                <c:pt idx="2">
                  <c:v>Teenager</c:v>
                </c:pt>
              </c:strCache>
            </c:strRef>
          </c:cat>
          <c:val>
            <c:numRef>
              <c:f>Sheet6!$B$4:$B$6</c:f>
              <c:numCache>
                <c:formatCode>General</c:formatCode>
                <c:ptCount val="3"/>
                <c:pt idx="0">
                  <c:v>214</c:v>
                </c:pt>
                <c:pt idx="1">
                  <c:v>151</c:v>
                </c:pt>
                <c:pt idx="2">
                  <c:v>135</c:v>
                </c:pt>
              </c:numCache>
            </c:numRef>
          </c:val>
          <c:extLst>
            <c:ext xmlns:c16="http://schemas.microsoft.com/office/drawing/2014/chart" uri="{C3380CC4-5D6E-409C-BE32-E72D297353CC}">
              <c16:uniqueId val="{00000005-F19A-4DDA-92B1-AA953CEB4270}"/>
            </c:ext>
          </c:extLst>
        </c:ser>
        <c:dLbls>
          <c:dLblPos val="out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[Electronics Store Annual Report Excel Project.xltx]Sheet5!PivotTable3</c:name>
    <c:fmtId val="0"/>
  </c:pivotSource>
  <c:chart>
    <c:autoTitleDeleted val="1"/>
    <c:pivotFmts>
      <c:pivotFmt>
        <c:idx val="0"/>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dLbl>
          <c:idx val="0"/>
          <c:layout>
            <c:manualLayout>
              <c:x val="-0.27914404269311127"/>
              <c:y val="2.2195975503062116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087915573053368"/>
                  <c:h val="0.31004629629629632"/>
                </c:manualLayout>
              </c15:layout>
            </c:ext>
          </c:extLst>
        </c:dLbl>
      </c:pivotFmt>
      <c:pivotFmt>
        <c:idx val="2"/>
        <c:spPr>
          <a:solidFill>
            <a:schemeClr val="accent1"/>
          </a:solidFill>
          <a:ln>
            <a:noFill/>
          </a:ln>
          <a:effectLst>
            <a:outerShdw blurRad="317500" algn="ctr" rotWithShape="0">
              <a:prstClr val="black">
                <a:alpha val="25000"/>
              </a:prstClr>
            </a:outerShdw>
          </a:effectLst>
        </c:spPr>
        <c:dLbl>
          <c:idx val="0"/>
          <c:layout>
            <c:manualLayout>
              <c:x val="0.13449581274624486"/>
              <c:y val="-1.1021799358413532E-3"/>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8625"/>
                  <c:h val="0.35634259259259254"/>
                </c:manualLayout>
              </c15:layout>
            </c:ext>
          </c:extLst>
        </c:dLbl>
      </c:pivotFmt>
    </c:pivotFmts>
    <c:plotArea>
      <c:layout/>
      <c:pieChart>
        <c:varyColors val="1"/>
        <c:ser>
          <c:idx val="0"/>
          <c:order val="0"/>
          <c:tx>
            <c:strRef>
              <c:f>Sheet5!$B$3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F7D6-4FC1-891E-A958D5DBA60D}"/>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F7D6-4FC1-891E-A958D5DBA60D}"/>
              </c:ext>
            </c:extLst>
          </c:dPt>
          <c:dLbls>
            <c:dLbl>
              <c:idx val="0"/>
              <c:layout>
                <c:manualLayout>
                  <c:x val="-0.27914404269311127"/>
                  <c:y val="2.2195975503062116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087915573053368"/>
                      <c:h val="0.31004629629629632"/>
                    </c:manualLayout>
                  </c15:layout>
                </c:ext>
                <c:ext xmlns:c16="http://schemas.microsoft.com/office/drawing/2014/chart" uri="{C3380CC4-5D6E-409C-BE32-E72D297353CC}">
                  <c16:uniqueId val="{00000001-F7D6-4FC1-891E-A958D5DBA60D}"/>
                </c:ext>
              </c:extLst>
            </c:dLbl>
            <c:dLbl>
              <c:idx val="1"/>
              <c:layout>
                <c:manualLayout>
                  <c:x val="0.13449581274624486"/>
                  <c:y val="-1.1021799358413532E-3"/>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8625"/>
                      <c:h val="0.35634259259259254"/>
                    </c:manualLayout>
                  </c15:layout>
                </c:ext>
                <c:ext xmlns:c16="http://schemas.microsoft.com/office/drawing/2014/chart" uri="{C3380CC4-5D6E-409C-BE32-E72D297353CC}">
                  <c16:uniqueId val="{00000003-F7D6-4FC1-891E-A958D5DBA60D}"/>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Sheet5!$A$4:$A$5</c:f>
              <c:strCache>
                <c:ptCount val="2"/>
                <c:pt idx="0">
                  <c:v>Female</c:v>
                </c:pt>
                <c:pt idx="1">
                  <c:v>Male</c:v>
                </c:pt>
              </c:strCache>
            </c:strRef>
          </c:cat>
          <c:val>
            <c:numRef>
              <c:f>Sheet5!$B$4:$B$5</c:f>
              <c:numCache>
                <c:formatCode>General</c:formatCode>
                <c:ptCount val="2"/>
                <c:pt idx="0">
                  <c:v>12633500</c:v>
                </c:pt>
                <c:pt idx="1">
                  <c:v>13016000</c:v>
                </c:pt>
              </c:numCache>
            </c:numRef>
          </c:val>
          <c:extLst>
            <c:ext xmlns:c16="http://schemas.microsoft.com/office/drawing/2014/chart" uri="{C3380CC4-5D6E-409C-BE32-E72D297353CC}">
              <c16:uniqueId val="{00000004-3BAA-467E-A3B2-82C51143875C}"/>
            </c:ext>
          </c:extLst>
        </c:ser>
        <c:dLbls>
          <c:dLblPos val="inEnd"/>
          <c:showLegendKey val="0"/>
          <c:showVal val="0"/>
          <c:showCatName val="1"/>
          <c:showSerName val="0"/>
          <c:showPercent val="1"/>
          <c:showBubbleSize val="0"/>
          <c:showLeaderLines val="1"/>
        </c:dLbls>
        <c:firstSliceAng val="0"/>
      </c:pieChart>
      <c:spPr>
        <a:noFill/>
        <a:ln>
          <a:noFill/>
        </a:ln>
        <a:effectLst/>
      </c:spPr>
    </c:plotArea>
    <c:legend>
      <c:legendPos val="r"/>
      <c:layout>
        <c:manualLayout>
          <c:xMode val="edge"/>
          <c:yMode val="edge"/>
          <c:x val="0.73273274321862758"/>
          <c:y val="0.10005723242927968"/>
          <c:w val="0.1847038660078798"/>
          <c:h val="0.15625109361329834"/>
        </c:manualLayout>
      </c:layout>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[Electronics Store Annual Report Excel Project.xltx]Sheet7!PivotTable5</c:name>
    <c:fmtId val="0"/>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Sheet7!$B$3</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Sheet7!$A$4:$A$8</c:f>
              <c:strCache>
                <c:ptCount val="5"/>
                <c:pt idx="0">
                  <c:v>Gujarat</c:v>
                </c:pt>
                <c:pt idx="1">
                  <c:v>Rajasthan</c:v>
                </c:pt>
                <c:pt idx="2">
                  <c:v>Delhi</c:v>
                </c:pt>
                <c:pt idx="3">
                  <c:v>Maharashtra</c:v>
                </c:pt>
                <c:pt idx="4">
                  <c:v>Karnataka</c:v>
                </c:pt>
              </c:strCache>
            </c:strRef>
          </c:cat>
          <c:val>
            <c:numRef>
              <c:f>Sheet7!$B$4:$B$8</c:f>
              <c:numCache>
                <c:formatCode>General</c:formatCode>
                <c:ptCount val="5"/>
                <c:pt idx="0">
                  <c:v>4588000</c:v>
                </c:pt>
                <c:pt idx="1">
                  <c:v>3937000</c:v>
                </c:pt>
                <c:pt idx="2">
                  <c:v>3937000</c:v>
                </c:pt>
                <c:pt idx="3">
                  <c:v>3590000</c:v>
                </c:pt>
                <c:pt idx="4">
                  <c:v>3582500</c:v>
                </c:pt>
              </c:numCache>
            </c:numRef>
          </c:val>
          <c:extLst>
            <c:ext xmlns:c16="http://schemas.microsoft.com/office/drawing/2014/chart" uri="{C3380CC4-5D6E-409C-BE32-E72D297353CC}">
              <c16:uniqueId val="{00000002-2DBA-44F6-AF74-D115ED13B3A2}"/>
            </c:ext>
          </c:extLst>
        </c:ser>
        <c:dLbls>
          <c:dLblPos val="inEnd"/>
          <c:showLegendKey val="0"/>
          <c:showVal val="1"/>
          <c:showCatName val="0"/>
          <c:showSerName val="0"/>
          <c:showPercent val="0"/>
          <c:showBubbleSize val="0"/>
        </c:dLbls>
        <c:gapWidth val="65"/>
        <c:axId val="1274766655"/>
        <c:axId val="1274768095"/>
      </c:barChart>
      <c:catAx>
        <c:axId val="1274766655"/>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274768095"/>
        <c:crosses val="autoZero"/>
        <c:auto val="1"/>
        <c:lblAlgn val="ctr"/>
        <c:lblOffset val="100"/>
        <c:noMultiLvlLbl val="0"/>
      </c:catAx>
      <c:valAx>
        <c:axId val="1274768095"/>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0,,\ &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274766655"/>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[Electronics Store Annual Report Excel Project.xltx]Sheet8!PivotTable6</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Order:</a:t>
            </a:r>
            <a:r>
              <a:rPr lang="en-IN" baseline="0"/>
              <a:t> Age Vs Gender</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Sheet8!$B$3:$B$4</c:f>
              <c:strCache>
                <c:ptCount val="1"/>
                <c:pt idx="0">
                  <c:v>Female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Sheet8!$A$5:$A$7</c:f>
              <c:strCache>
                <c:ptCount val="3"/>
                <c:pt idx="0">
                  <c:v>Adult</c:v>
                </c:pt>
                <c:pt idx="1">
                  <c:v>Senior</c:v>
                </c:pt>
                <c:pt idx="2">
                  <c:v>Teenager</c:v>
                </c:pt>
              </c:strCache>
            </c:strRef>
          </c:cat>
          <c:val>
            <c:numRef>
              <c:f>Sheet8!$B$5:$B$7</c:f>
              <c:numCache>
                <c:formatCode>0.00%</c:formatCode>
                <c:ptCount val="3"/>
                <c:pt idx="0">
                  <c:v>0.22</c:v>
                </c:pt>
                <c:pt idx="1">
                  <c:v>0.14399999999999999</c:v>
                </c:pt>
                <c:pt idx="2">
                  <c:v>0.13600000000000001</c:v>
                </c:pt>
              </c:numCache>
            </c:numRef>
          </c:val>
          <c:extLst>
            <c:ext xmlns:c16="http://schemas.microsoft.com/office/drawing/2014/chart" uri="{C3380CC4-5D6E-409C-BE32-E72D297353CC}">
              <c16:uniqueId val="{00000004-C3FC-4A55-9A0D-7CFB7D0BA50C}"/>
            </c:ext>
          </c:extLst>
        </c:ser>
        <c:ser>
          <c:idx val="1"/>
          <c:order val="1"/>
          <c:tx>
            <c:strRef>
              <c:f>Sheet8!$C$3:$C$4</c:f>
              <c:strCache>
                <c:ptCount val="1"/>
                <c:pt idx="0">
                  <c:v>Male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Sheet8!$A$5:$A$7</c:f>
              <c:strCache>
                <c:ptCount val="3"/>
                <c:pt idx="0">
                  <c:v>Adult</c:v>
                </c:pt>
                <c:pt idx="1">
                  <c:v>Senior</c:v>
                </c:pt>
                <c:pt idx="2">
                  <c:v>Teenager</c:v>
                </c:pt>
              </c:strCache>
            </c:strRef>
          </c:cat>
          <c:val>
            <c:numRef>
              <c:f>Sheet8!$C$5:$C$7</c:f>
              <c:numCache>
                <c:formatCode>0.00%</c:formatCode>
                <c:ptCount val="3"/>
                <c:pt idx="0">
                  <c:v>0.20799999999999999</c:v>
                </c:pt>
                <c:pt idx="1">
                  <c:v>0.158</c:v>
                </c:pt>
                <c:pt idx="2">
                  <c:v>0.13400000000000001</c:v>
                </c:pt>
              </c:numCache>
            </c:numRef>
          </c:val>
          <c:extLst>
            <c:ext xmlns:c16="http://schemas.microsoft.com/office/drawing/2014/chart" uri="{C3380CC4-5D6E-409C-BE32-E72D297353CC}">
              <c16:uniqueId val="{00000007-C3FC-4A55-9A0D-7CFB7D0BA50C}"/>
            </c:ext>
          </c:extLst>
        </c:ser>
        <c:dLbls>
          <c:dLblPos val="outEnd"/>
          <c:showLegendKey val="0"/>
          <c:showVal val="1"/>
          <c:showCatName val="0"/>
          <c:showSerName val="0"/>
          <c:showPercent val="0"/>
          <c:showBubbleSize val="0"/>
        </c:dLbls>
        <c:gapWidth val="219"/>
        <c:overlap val="-27"/>
        <c:axId val="1988384415"/>
        <c:axId val="1988385375"/>
      </c:barChart>
      <c:catAx>
        <c:axId val="1988384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8385375"/>
        <c:crosses val="autoZero"/>
        <c:auto val="1"/>
        <c:lblAlgn val="ctr"/>
        <c:lblOffset val="100"/>
        <c:noMultiLvlLbl val="0"/>
      </c:catAx>
      <c:valAx>
        <c:axId val="198838537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8384415"/>
        <c:crosses val="autoZero"/>
        <c:crossBetween val="between"/>
      </c:valAx>
      <c:spPr>
        <a:noFill/>
        <a:ln>
          <a:noFill/>
        </a:ln>
        <a:effectLst/>
      </c:spPr>
    </c:plotArea>
    <c:legend>
      <c:legendPos val="r"/>
      <c:layout>
        <c:manualLayout>
          <c:xMode val="edge"/>
          <c:yMode val="edge"/>
          <c:x val="0.79014829396325459"/>
          <c:y val="9.337890055409738E-2"/>
          <c:w val="0.12869514268974092"/>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[Electronics Store Annual Report Excel Project.xltx]Sheet9!PivotTable7</c:name>
    <c:fmtId val="0"/>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pivotFmt>
      <c:pivotFmt>
        <c:idx val="2"/>
        <c:spPr>
          <a:solidFill>
            <a:schemeClr val="accent1"/>
          </a:solidFill>
          <a:ln>
            <a:noFill/>
          </a:ln>
          <a:effectLst>
            <a:outerShdw blurRad="317500" algn="ctr" rotWithShape="0">
              <a:prstClr val="black">
                <a:alpha val="25000"/>
              </a:prstClr>
            </a:outerShdw>
          </a:effectLst>
        </c:spPr>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accent1"/>
          </a:solidFill>
          <a:ln>
            <a:noFill/>
          </a:ln>
          <a:effectLst>
            <a:outerShdw blurRad="317500" algn="ctr" rotWithShape="0">
              <a:prstClr val="black">
                <a:alpha val="25000"/>
              </a:prstClr>
            </a:outerShdw>
          </a:effectLst>
        </c:spPr>
      </c:pivotFmt>
      <c:pivotFmt>
        <c:idx val="5"/>
        <c:spPr>
          <a:solidFill>
            <a:schemeClr val="accent1"/>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pivotFmt>
      <c:pivotFmt>
        <c:idx val="7"/>
        <c:spPr>
          <a:solidFill>
            <a:schemeClr val="accent1"/>
          </a:solidFill>
          <a:ln>
            <a:noFill/>
          </a:ln>
          <a:effectLst>
            <a:outerShdw blurRad="317500" algn="ctr" rotWithShape="0">
              <a:prstClr val="black">
                <a:alpha val="25000"/>
              </a:prstClr>
            </a:outerShdw>
          </a:effectLst>
        </c:spPr>
      </c:pivotFmt>
      <c:pivotFmt>
        <c:idx val="8"/>
        <c:spPr>
          <a:solidFill>
            <a:schemeClr val="accent1"/>
          </a:solidFill>
          <a:ln>
            <a:noFill/>
          </a:ln>
          <a:effectLst>
            <a:outerShdw blurRad="317500" algn="ctr" rotWithShape="0">
              <a:prstClr val="black">
                <a:alpha val="25000"/>
              </a:prstClr>
            </a:outerShdw>
          </a:effectLst>
        </c:spPr>
      </c:pivotFmt>
      <c:pivotFmt>
        <c:idx val="9"/>
        <c:spPr>
          <a:solidFill>
            <a:schemeClr val="accent1"/>
          </a:solidFill>
          <a:ln>
            <a:noFill/>
          </a:ln>
          <a:effectLst>
            <a:outerShdw blurRad="317500" algn="ctr" rotWithShape="0">
              <a:prstClr val="black">
                <a:alpha val="25000"/>
              </a:prstClr>
            </a:outerShdw>
          </a:effectLst>
        </c:spPr>
      </c:pivotFmt>
      <c:pivotFmt>
        <c:idx val="10"/>
        <c:spPr>
          <a:solidFill>
            <a:schemeClr val="accent1"/>
          </a:solidFill>
          <a:ln>
            <a:noFill/>
          </a:ln>
          <a:effectLst>
            <a:outerShdw blurRad="317500" algn="ctr" rotWithShape="0">
              <a:prstClr val="black">
                <a:alpha val="25000"/>
              </a:prstClr>
            </a:outerShdw>
          </a:effectLst>
        </c:spPr>
      </c:pivotFmt>
    </c:pivotFmts>
    <c:plotArea>
      <c:layout/>
      <c:pieChart>
        <c:varyColors val="1"/>
        <c:ser>
          <c:idx val="0"/>
          <c:order val="0"/>
          <c:tx>
            <c:strRef>
              <c:f>Sheet9!$B$3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0764-44CB-A359-53D62E5A11D0}"/>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0764-44CB-A359-53D62E5A11D0}"/>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0764-44CB-A359-53D62E5A11D0}"/>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0764-44CB-A359-53D62E5A11D0}"/>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0764-44CB-A359-53D62E5A11D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Sheet9!$A$4:$A$8</c:f>
              <c:strCache>
                <c:ptCount val="5"/>
                <c:pt idx="0">
                  <c:v>Ajio</c:v>
                </c:pt>
                <c:pt idx="1">
                  <c:v>Amazon</c:v>
                </c:pt>
                <c:pt idx="2">
                  <c:v>Flipkart</c:v>
                </c:pt>
                <c:pt idx="3">
                  <c:v>Myntra</c:v>
                </c:pt>
                <c:pt idx="4">
                  <c:v>Snapdeal</c:v>
                </c:pt>
              </c:strCache>
            </c:strRef>
          </c:cat>
          <c:val>
            <c:numRef>
              <c:f>Sheet9!$B$4:$B$8</c:f>
              <c:numCache>
                <c:formatCode>General</c:formatCode>
                <c:ptCount val="5"/>
                <c:pt idx="0">
                  <c:v>110</c:v>
                </c:pt>
                <c:pt idx="1">
                  <c:v>99</c:v>
                </c:pt>
                <c:pt idx="2">
                  <c:v>99</c:v>
                </c:pt>
                <c:pt idx="3">
                  <c:v>76</c:v>
                </c:pt>
                <c:pt idx="4">
                  <c:v>116</c:v>
                </c:pt>
              </c:numCache>
            </c:numRef>
          </c:val>
          <c:extLst>
            <c:ext xmlns:c16="http://schemas.microsoft.com/office/drawing/2014/chart" uri="{C3380CC4-5D6E-409C-BE32-E72D297353CC}">
              <c16:uniqueId val="{00000002-A080-43A9-8AF7-7D2284838E0A}"/>
            </c:ext>
          </c:extLst>
        </c:ser>
        <c:dLbls>
          <c:dLblPos val="inEnd"/>
          <c:showLegendKey val="0"/>
          <c:showVal val="0"/>
          <c:showCatName val="1"/>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[Electronics Store Annual Report Excel Project.xltx]Sheet10!PivotTable8</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Order</a:t>
            </a:r>
            <a:r>
              <a:rPr lang="en-IN" baseline="0"/>
              <a:t> Vs Sales</a:t>
            </a:r>
            <a:endParaRPr lang="en-IN"/>
          </a:p>
        </c:rich>
      </c:tx>
      <c:layout>
        <c:manualLayout>
          <c:xMode val="edge"/>
          <c:yMode val="edge"/>
          <c:x val="0.24637163893280739"/>
          <c:y val="8.333333333333332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3348120217367191E-2"/>
          <c:y val="0.27314814814814814"/>
          <c:w val="0.72603627011412308"/>
          <c:h val="0.48336431904345289"/>
        </c:manualLayout>
      </c:layout>
      <c:barChart>
        <c:barDir val="col"/>
        <c:grouping val="clustered"/>
        <c:varyColors val="0"/>
        <c:ser>
          <c:idx val="0"/>
          <c:order val="0"/>
          <c:tx>
            <c:strRef>
              <c:f>Sheet10!$B$3</c:f>
              <c:strCache>
                <c:ptCount val="1"/>
                <c:pt idx="0">
                  <c:v>Count of Order ID</c:v>
                </c:pt>
              </c:strCache>
            </c:strRef>
          </c:tx>
          <c:spPr>
            <a:solidFill>
              <a:schemeClr val="accent1"/>
            </a:solidFill>
            <a:ln>
              <a:noFill/>
            </a:ln>
            <a:effectLst/>
          </c:spPr>
          <c:invertIfNegative val="0"/>
          <c:cat>
            <c:strRef>
              <c:f>Sheet10!$A$4:$A$15</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Sheet10!$B$4:$B$15</c:f>
              <c:numCache>
                <c:formatCode>General</c:formatCode>
                <c:ptCount val="12"/>
                <c:pt idx="0">
                  <c:v>46</c:v>
                </c:pt>
                <c:pt idx="1">
                  <c:v>47</c:v>
                </c:pt>
                <c:pt idx="2">
                  <c:v>44</c:v>
                </c:pt>
                <c:pt idx="3">
                  <c:v>44</c:v>
                </c:pt>
                <c:pt idx="4">
                  <c:v>51</c:v>
                </c:pt>
                <c:pt idx="5">
                  <c:v>38</c:v>
                </c:pt>
                <c:pt idx="6">
                  <c:v>35</c:v>
                </c:pt>
                <c:pt idx="7">
                  <c:v>36</c:v>
                </c:pt>
                <c:pt idx="8">
                  <c:v>39</c:v>
                </c:pt>
                <c:pt idx="9">
                  <c:v>45</c:v>
                </c:pt>
                <c:pt idx="10">
                  <c:v>36</c:v>
                </c:pt>
                <c:pt idx="11">
                  <c:v>39</c:v>
                </c:pt>
              </c:numCache>
            </c:numRef>
          </c:val>
          <c:extLst>
            <c:ext xmlns:c16="http://schemas.microsoft.com/office/drawing/2014/chart" uri="{C3380CC4-5D6E-409C-BE32-E72D297353CC}">
              <c16:uniqueId val="{00000000-FEEE-4CC7-932C-752AAC2D19CA}"/>
            </c:ext>
          </c:extLst>
        </c:ser>
        <c:dLbls>
          <c:showLegendKey val="0"/>
          <c:showVal val="0"/>
          <c:showCatName val="0"/>
          <c:showSerName val="0"/>
          <c:showPercent val="0"/>
          <c:showBubbleSize val="0"/>
        </c:dLbls>
        <c:gapWidth val="219"/>
        <c:overlap val="-27"/>
        <c:axId val="1950704831"/>
        <c:axId val="830427231"/>
      </c:barChart>
      <c:lineChart>
        <c:grouping val="standard"/>
        <c:varyColors val="0"/>
        <c:ser>
          <c:idx val="1"/>
          <c:order val="1"/>
          <c:tx>
            <c:strRef>
              <c:f>Sheet10!$C$3</c:f>
              <c:strCache>
                <c:ptCount val="1"/>
                <c:pt idx="0">
                  <c:v>Sum of Total Spent</c:v>
                </c:pt>
              </c:strCache>
            </c:strRef>
          </c:tx>
          <c:spPr>
            <a:ln w="28575" cap="rnd">
              <a:solidFill>
                <a:schemeClr val="accent2"/>
              </a:solidFill>
              <a:round/>
            </a:ln>
            <a:effectLst/>
          </c:spPr>
          <c:marker>
            <c:symbol val="none"/>
          </c:marker>
          <c:cat>
            <c:strRef>
              <c:f>Sheet10!$A$4:$A$15</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Sheet10!$C$4:$C$15</c:f>
              <c:numCache>
                <c:formatCode>General</c:formatCode>
                <c:ptCount val="12"/>
                <c:pt idx="0">
                  <c:v>3293000</c:v>
                </c:pt>
                <c:pt idx="1">
                  <c:v>2239000</c:v>
                </c:pt>
                <c:pt idx="2">
                  <c:v>3093000</c:v>
                </c:pt>
                <c:pt idx="3">
                  <c:v>2347000</c:v>
                </c:pt>
                <c:pt idx="4">
                  <c:v>1909000</c:v>
                </c:pt>
                <c:pt idx="5">
                  <c:v>2074500</c:v>
                </c:pt>
                <c:pt idx="6">
                  <c:v>1969000</c:v>
                </c:pt>
                <c:pt idx="7">
                  <c:v>1562000</c:v>
                </c:pt>
                <c:pt idx="8">
                  <c:v>1552000</c:v>
                </c:pt>
                <c:pt idx="9">
                  <c:v>2490000</c:v>
                </c:pt>
                <c:pt idx="10">
                  <c:v>1472000</c:v>
                </c:pt>
                <c:pt idx="11">
                  <c:v>1649000</c:v>
                </c:pt>
              </c:numCache>
            </c:numRef>
          </c:val>
          <c:smooth val="0"/>
          <c:extLst>
            <c:ext xmlns:c16="http://schemas.microsoft.com/office/drawing/2014/chart" uri="{C3380CC4-5D6E-409C-BE32-E72D297353CC}">
              <c16:uniqueId val="{00000001-FEEE-4CC7-932C-752AAC2D19CA}"/>
            </c:ext>
          </c:extLst>
        </c:ser>
        <c:dLbls>
          <c:showLegendKey val="0"/>
          <c:showVal val="0"/>
          <c:showCatName val="0"/>
          <c:showSerName val="0"/>
          <c:showPercent val="0"/>
          <c:showBubbleSize val="0"/>
        </c:dLbls>
        <c:marker val="1"/>
        <c:smooth val="0"/>
        <c:axId val="830425791"/>
        <c:axId val="830425311"/>
      </c:lineChart>
      <c:catAx>
        <c:axId val="19507048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427231"/>
        <c:crosses val="autoZero"/>
        <c:auto val="1"/>
        <c:lblAlgn val="ctr"/>
        <c:lblOffset val="100"/>
        <c:noMultiLvlLbl val="0"/>
      </c:catAx>
      <c:valAx>
        <c:axId val="8304272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0704831"/>
        <c:crosses val="autoZero"/>
        <c:crossBetween val="between"/>
      </c:valAx>
      <c:valAx>
        <c:axId val="830425311"/>
        <c:scaling>
          <c:orientation val="minMax"/>
        </c:scaling>
        <c:delete val="0"/>
        <c:axPos val="r"/>
        <c:numFmt formatCode="0.00,,&quot;M&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425791"/>
        <c:crosses val="max"/>
        <c:crossBetween val="between"/>
      </c:valAx>
      <c:catAx>
        <c:axId val="830425791"/>
        <c:scaling>
          <c:orientation val="minMax"/>
        </c:scaling>
        <c:delete val="1"/>
        <c:axPos val="b"/>
        <c:numFmt formatCode="General" sourceLinked="1"/>
        <c:majorTickMark val="out"/>
        <c:minorTickMark val="none"/>
        <c:tickLblPos val="nextTo"/>
        <c:crossAx val="830425311"/>
        <c:crosses val="autoZero"/>
        <c:auto val="1"/>
        <c:lblAlgn val="ctr"/>
        <c:lblOffset val="100"/>
        <c:noMultiLvlLbl val="0"/>
      </c:catAx>
      <c:spPr>
        <a:noFill/>
        <a:ln>
          <a:noFill/>
        </a:ln>
        <a:effectLst/>
      </c:spPr>
    </c:plotArea>
    <c:legend>
      <c:legendPos val="r"/>
      <c:layout>
        <c:manualLayout>
          <c:xMode val="edge"/>
          <c:yMode val="edge"/>
          <c:x val="0.55103280251403552"/>
          <c:y val="9.3170749489647139E-2"/>
          <c:w val="0.40370043430669827"/>
          <c:h val="0.1365762613006707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10</xdr:col>
      <xdr:colOff>342900</xdr:colOff>
      <xdr:row>1</xdr:row>
      <xdr:rowOff>99061</xdr:rowOff>
    </xdr:from>
    <xdr:to>
      <xdr:col>15</xdr:col>
      <xdr:colOff>274321</xdr:colOff>
      <xdr:row>14</xdr:row>
      <xdr:rowOff>114301</xdr:rowOff>
    </xdr:to>
    <xdr:graphicFrame macro="">
      <xdr:nvGraphicFramePr>
        <xdr:cNvPr id="3" name="Chart 2">
          <a:extLst>
            <a:ext uri="{FF2B5EF4-FFF2-40B4-BE49-F238E27FC236}">
              <a16:creationId xmlns:a16="http://schemas.microsoft.com/office/drawing/2014/main" id="{E9CF99C9-990B-4876-86D9-34236C978A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525780</xdr:colOff>
      <xdr:row>1</xdr:row>
      <xdr:rowOff>176893</xdr:rowOff>
    </xdr:from>
    <xdr:to>
      <xdr:col>21</xdr:col>
      <xdr:colOff>365759</xdr:colOff>
      <xdr:row>14</xdr:row>
      <xdr:rowOff>137160</xdr:rowOff>
    </xdr:to>
    <xdr:graphicFrame macro="">
      <xdr:nvGraphicFramePr>
        <xdr:cNvPr id="4" name="Chart 3">
          <a:extLst>
            <a:ext uri="{FF2B5EF4-FFF2-40B4-BE49-F238E27FC236}">
              <a16:creationId xmlns:a16="http://schemas.microsoft.com/office/drawing/2014/main" id="{5661931D-1C13-4BCF-A09A-07CC34E701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36467</xdr:colOff>
      <xdr:row>15</xdr:row>
      <xdr:rowOff>68580</xdr:rowOff>
    </xdr:from>
    <xdr:to>
      <xdr:col>10</xdr:col>
      <xdr:colOff>91440</xdr:colOff>
      <xdr:row>27</xdr:row>
      <xdr:rowOff>45720</xdr:rowOff>
    </xdr:to>
    <xdr:graphicFrame macro="">
      <xdr:nvGraphicFramePr>
        <xdr:cNvPr id="5" name="Chart 4">
          <a:extLst>
            <a:ext uri="{FF2B5EF4-FFF2-40B4-BE49-F238E27FC236}">
              <a16:creationId xmlns:a16="http://schemas.microsoft.com/office/drawing/2014/main" id="{ABC10515-C80F-4227-AF5C-77A08C6AE8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304801</xdr:colOff>
      <xdr:row>15</xdr:row>
      <xdr:rowOff>91439</xdr:rowOff>
    </xdr:from>
    <xdr:to>
      <xdr:col>16</xdr:col>
      <xdr:colOff>533401</xdr:colOff>
      <xdr:row>27</xdr:row>
      <xdr:rowOff>45720</xdr:rowOff>
    </xdr:to>
    <xdr:graphicFrame macro="">
      <xdr:nvGraphicFramePr>
        <xdr:cNvPr id="6" name="Chart 5">
          <a:extLst>
            <a:ext uri="{FF2B5EF4-FFF2-40B4-BE49-F238E27FC236}">
              <a16:creationId xmlns:a16="http://schemas.microsoft.com/office/drawing/2014/main" id="{DD989A12-FEBD-46A8-8C48-9F6B2252E3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274320</xdr:colOff>
      <xdr:row>15</xdr:row>
      <xdr:rowOff>83820</xdr:rowOff>
    </xdr:from>
    <xdr:to>
      <xdr:col>21</xdr:col>
      <xdr:colOff>411480</xdr:colOff>
      <xdr:row>27</xdr:row>
      <xdr:rowOff>53340</xdr:rowOff>
    </xdr:to>
    <xdr:graphicFrame macro="">
      <xdr:nvGraphicFramePr>
        <xdr:cNvPr id="7" name="Chart 6">
          <a:extLst>
            <a:ext uri="{FF2B5EF4-FFF2-40B4-BE49-F238E27FC236}">
              <a16:creationId xmlns:a16="http://schemas.microsoft.com/office/drawing/2014/main" id="{FF30E469-0DD1-4284-B27D-6735B29807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53340</xdr:colOff>
      <xdr:row>11</xdr:row>
      <xdr:rowOff>45721</xdr:rowOff>
    </xdr:from>
    <xdr:to>
      <xdr:col>2</xdr:col>
      <xdr:colOff>601980</xdr:colOff>
      <xdr:row>18</xdr:row>
      <xdr:rowOff>30481</xdr:rowOff>
    </xdr:to>
    <mc:AlternateContent xmlns:mc="http://schemas.openxmlformats.org/markup-compatibility/2006" xmlns:a14="http://schemas.microsoft.com/office/drawing/2010/main">
      <mc:Choice Requires="a14">
        <xdr:graphicFrame macro="">
          <xdr:nvGraphicFramePr>
            <xdr:cNvPr id="15" name="Product 1">
              <a:extLst>
                <a:ext uri="{FF2B5EF4-FFF2-40B4-BE49-F238E27FC236}">
                  <a16:creationId xmlns:a16="http://schemas.microsoft.com/office/drawing/2014/main" id="{E78C95BF-94B6-92BE-F92A-A8AE9AFA52BD}"/>
                </a:ext>
              </a:extLst>
            </xdr:cNvPr>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53340" y="2270761"/>
              <a:ext cx="1767840" cy="12649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68580</xdr:colOff>
      <xdr:row>18</xdr:row>
      <xdr:rowOff>83820</xdr:rowOff>
    </xdr:from>
    <xdr:to>
      <xdr:col>3</xdr:col>
      <xdr:colOff>0</xdr:colOff>
      <xdr:row>27</xdr:row>
      <xdr:rowOff>60960</xdr:rowOff>
    </xdr:to>
    <mc:AlternateContent xmlns:mc="http://schemas.openxmlformats.org/markup-compatibility/2006" xmlns:a14="http://schemas.microsoft.com/office/drawing/2010/main">
      <mc:Choice Requires="a14">
        <xdr:graphicFrame macro="">
          <xdr:nvGraphicFramePr>
            <xdr:cNvPr id="16" name="Channel 1">
              <a:extLst>
                <a:ext uri="{FF2B5EF4-FFF2-40B4-BE49-F238E27FC236}">
                  <a16:creationId xmlns:a16="http://schemas.microsoft.com/office/drawing/2014/main" id="{9D2D869B-B642-20C0-BE35-E3316B8F10B2}"/>
                </a:ext>
              </a:extLst>
            </xdr:cNvPr>
            <xdr:cNvGraphicFramePr/>
          </xdr:nvGraphicFramePr>
          <xdr:xfrm>
            <a:off x="0" y="0"/>
            <a:ext cx="0" cy="0"/>
          </xdr:xfrm>
          <a:graphic>
            <a:graphicData uri="http://schemas.microsoft.com/office/drawing/2010/slicer">
              <sle:slicer xmlns:sle="http://schemas.microsoft.com/office/drawing/2010/slicer" name="Channel 1"/>
            </a:graphicData>
          </a:graphic>
        </xdr:graphicFrame>
      </mc:Choice>
      <mc:Fallback xmlns="">
        <xdr:sp macro="" textlink="">
          <xdr:nvSpPr>
            <xdr:cNvPr id="0" name=""/>
            <xdr:cNvSpPr>
              <a:spLocks noTextEdit="1"/>
            </xdr:cNvSpPr>
          </xdr:nvSpPr>
          <xdr:spPr>
            <a:xfrm>
              <a:off x="68580" y="3589020"/>
              <a:ext cx="1760220" cy="16230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53340</xdr:colOff>
      <xdr:row>1</xdr:row>
      <xdr:rowOff>83820</xdr:rowOff>
    </xdr:from>
    <xdr:to>
      <xdr:col>3</xdr:col>
      <xdr:colOff>0</xdr:colOff>
      <xdr:row>11</xdr:row>
      <xdr:rowOff>15240</xdr:rowOff>
    </xdr:to>
    <mc:AlternateContent xmlns:mc="http://schemas.openxmlformats.org/markup-compatibility/2006" xmlns:a14="http://schemas.microsoft.com/office/drawing/2010/main">
      <mc:Choice Requires="a14">
        <xdr:graphicFrame macro="">
          <xdr:nvGraphicFramePr>
            <xdr:cNvPr id="17" name="Month">
              <a:extLst>
                <a:ext uri="{FF2B5EF4-FFF2-40B4-BE49-F238E27FC236}">
                  <a16:creationId xmlns:a16="http://schemas.microsoft.com/office/drawing/2014/main" id="{A2A616F4-8492-2C43-3556-F8651A540D26}"/>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53340" y="480060"/>
              <a:ext cx="1775460" cy="17602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53340</xdr:colOff>
      <xdr:row>1</xdr:row>
      <xdr:rowOff>91440</xdr:rowOff>
    </xdr:from>
    <xdr:to>
      <xdr:col>10</xdr:col>
      <xdr:colOff>68580</xdr:colOff>
      <xdr:row>15</xdr:row>
      <xdr:rowOff>15240</xdr:rowOff>
    </xdr:to>
    <xdr:graphicFrame macro="">
      <xdr:nvGraphicFramePr>
        <xdr:cNvPr id="19" name="Chart 18">
          <a:extLst>
            <a:ext uri="{FF2B5EF4-FFF2-40B4-BE49-F238E27FC236}">
              <a16:creationId xmlns:a16="http://schemas.microsoft.com/office/drawing/2014/main" id="{1E4D908E-74C9-4CB2-9C6D-728DDF8CCC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381000</xdr:colOff>
      <xdr:row>6</xdr:row>
      <xdr:rowOff>91440</xdr:rowOff>
    </xdr:from>
    <xdr:to>
      <xdr:col>9</xdr:col>
      <xdr:colOff>487680</xdr:colOff>
      <xdr:row>21</xdr:row>
      <xdr:rowOff>91440</xdr:rowOff>
    </xdr:to>
    <xdr:graphicFrame macro="">
      <xdr:nvGraphicFramePr>
        <xdr:cNvPr id="2" name="Chart 1">
          <a:extLst>
            <a:ext uri="{FF2B5EF4-FFF2-40B4-BE49-F238E27FC236}">
              <a16:creationId xmlns:a16="http://schemas.microsoft.com/office/drawing/2014/main" id="{06B3C9F3-8707-1D01-F716-5F3784EDD5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510540</xdr:colOff>
      <xdr:row>6</xdr:row>
      <xdr:rowOff>68580</xdr:rowOff>
    </xdr:from>
    <xdr:to>
      <xdr:col>10</xdr:col>
      <xdr:colOff>289560</xdr:colOff>
      <xdr:row>21</xdr:row>
      <xdr:rowOff>68580</xdr:rowOff>
    </xdr:to>
    <xdr:graphicFrame macro="">
      <xdr:nvGraphicFramePr>
        <xdr:cNvPr id="2" name="Chart 1">
          <a:extLst>
            <a:ext uri="{FF2B5EF4-FFF2-40B4-BE49-F238E27FC236}">
              <a16:creationId xmlns:a16="http://schemas.microsoft.com/office/drawing/2014/main" id="{ADFFF1EA-12EC-71F6-3021-107DA468FF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289560</xdr:colOff>
      <xdr:row>6</xdr:row>
      <xdr:rowOff>45720</xdr:rowOff>
    </xdr:from>
    <xdr:to>
      <xdr:col>10</xdr:col>
      <xdr:colOff>594360</xdr:colOff>
      <xdr:row>21</xdr:row>
      <xdr:rowOff>45720</xdr:rowOff>
    </xdr:to>
    <xdr:graphicFrame macro="">
      <xdr:nvGraphicFramePr>
        <xdr:cNvPr id="2" name="Chart 1">
          <a:extLst>
            <a:ext uri="{FF2B5EF4-FFF2-40B4-BE49-F238E27FC236}">
              <a16:creationId xmlns:a16="http://schemas.microsoft.com/office/drawing/2014/main" id="{4506ABF5-09E3-6769-48D9-4B01422BD1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495300</xdr:colOff>
      <xdr:row>6</xdr:row>
      <xdr:rowOff>45720</xdr:rowOff>
    </xdr:from>
    <xdr:to>
      <xdr:col>23</xdr:col>
      <xdr:colOff>45720</xdr:colOff>
      <xdr:row>21</xdr:row>
      <xdr:rowOff>45720</xdr:rowOff>
    </xdr:to>
    <xdr:graphicFrame macro="">
      <xdr:nvGraphicFramePr>
        <xdr:cNvPr id="3" name="Chart 2">
          <a:extLst>
            <a:ext uri="{FF2B5EF4-FFF2-40B4-BE49-F238E27FC236}">
              <a16:creationId xmlns:a16="http://schemas.microsoft.com/office/drawing/2014/main" id="{EDFEE2C8-D520-B599-7663-535239AA8E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586740</xdr:colOff>
      <xdr:row>6</xdr:row>
      <xdr:rowOff>45720</xdr:rowOff>
    </xdr:from>
    <xdr:to>
      <xdr:col>10</xdr:col>
      <xdr:colOff>91440</xdr:colOff>
      <xdr:row>21</xdr:row>
      <xdr:rowOff>45720</xdr:rowOff>
    </xdr:to>
    <xdr:graphicFrame macro="">
      <xdr:nvGraphicFramePr>
        <xdr:cNvPr id="2" name="Chart 1">
          <a:extLst>
            <a:ext uri="{FF2B5EF4-FFF2-40B4-BE49-F238E27FC236}">
              <a16:creationId xmlns:a16="http://schemas.microsoft.com/office/drawing/2014/main" id="{7720A0C4-82B4-B600-3CF6-9C616F351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632460</xdr:colOff>
      <xdr:row>6</xdr:row>
      <xdr:rowOff>45720</xdr:rowOff>
    </xdr:from>
    <xdr:to>
      <xdr:col>7</xdr:col>
      <xdr:colOff>457200</xdr:colOff>
      <xdr:row>21</xdr:row>
      <xdr:rowOff>45720</xdr:rowOff>
    </xdr:to>
    <xdr:graphicFrame macro="">
      <xdr:nvGraphicFramePr>
        <xdr:cNvPr id="3" name="Chart 2">
          <a:extLst>
            <a:ext uri="{FF2B5EF4-FFF2-40B4-BE49-F238E27FC236}">
              <a16:creationId xmlns:a16="http://schemas.microsoft.com/office/drawing/2014/main" id="{4585C992-FB9B-004E-5A0E-FFF9752F58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HIL CHAVHAN" refreshedDate="45960.630000694444" createdVersion="8" refreshedVersion="8" minRefreshableVersion="3" recordCount="500" xr:uid="{2816F17C-077A-422F-8BA7-802A130CD24F}">
  <cacheSource type="worksheet">
    <worksheetSource ref="A1:N501" sheet="Sheet1"/>
  </cacheSource>
  <cacheFields count="14">
    <cacheField name="Order ID" numFmtId="0">
      <sharedItems count="500">
        <s v="ORD1000"/>
        <s v="ORD1001"/>
        <s v="ORD1002"/>
        <s v="ORD1003"/>
        <s v="ORD1004"/>
        <s v="ORD1005"/>
        <s v="ORD1006"/>
        <s v="ORD1007"/>
        <s v="ORD1008"/>
        <s v="ORD1009"/>
        <s v="ORD1010"/>
        <s v="ORD1011"/>
        <s v="ORD1012"/>
        <s v="ORD1013"/>
        <s v="ORD1014"/>
        <s v="ORD1015"/>
        <s v="ORD1016"/>
        <s v="ORD1017"/>
        <s v="ORD1018"/>
        <s v="ORD1019"/>
        <s v="ORD1020"/>
        <s v="ORD1021"/>
        <s v="ORD1022"/>
        <s v="ORD1023"/>
        <s v="ORD1024"/>
        <s v="ORD1025"/>
        <s v="ORD1026"/>
        <s v="ORD1027"/>
        <s v="ORD1028"/>
        <s v="ORD1029"/>
        <s v="ORD1030"/>
        <s v="ORD1031"/>
        <s v="ORD1032"/>
        <s v="ORD1033"/>
        <s v="ORD1034"/>
        <s v="ORD1035"/>
        <s v="ORD1036"/>
        <s v="ORD1037"/>
        <s v="ORD1038"/>
        <s v="ORD1039"/>
        <s v="ORD1040"/>
        <s v="ORD1041"/>
        <s v="ORD1042"/>
        <s v="ORD1043"/>
        <s v="ORD1044"/>
        <s v="ORD1045"/>
        <s v="ORD1046"/>
        <s v="ORD1047"/>
        <s v="ORD1048"/>
        <s v="ORD1049"/>
        <s v="ORD1050"/>
        <s v="ORD1051"/>
        <s v="ORD1052"/>
        <s v="ORD1053"/>
        <s v="ORD1054"/>
        <s v="ORD1055"/>
        <s v="ORD1056"/>
        <s v="ORD1057"/>
        <s v="ORD1058"/>
        <s v="ORD1059"/>
        <s v="ORD1060"/>
        <s v="ORD1061"/>
        <s v="ORD1062"/>
        <s v="ORD1063"/>
        <s v="ORD1064"/>
        <s v="ORD1065"/>
        <s v="ORD1066"/>
        <s v="ORD1067"/>
        <s v="ORD1068"/>
        <s v="ORD1069"/>
        <s v="ORD1070"/>
        <s v="ORD1071"/>
        <s v="ORD1072"/>
        <s v="ORD1073"/>
        <s v="ORD1074"/>
        <s v="ORD1075"/>
        <s v="ORD1076"/>
        <s v="ORD1077"/>
        <s v="ORD1078"/>
        <s v="ORD1079"/>
        <s v="ORD1080"/>
        <s v="ORD1081"/>
        <s v="ORD1082"/>
        <s v="ORD1083"/>
        <s v="ORD1084"/>
        <s v="ORD1085"/>
        <s v="ORD1086"/>
        <s v="ORD1087"/>
        <s v="ORD1088"/>
        <s v="ORD1089"/>
        <s v="ORD1090"/>
        <s v="ORD1091"/>
        <s v="ORD1092"/>
        <s v="ORD1093"/>
        <s v="ORD1094"/>
        <s v="ORD1095"/>
        <s v="ORD1096"/>
        <s v="ORD1097"/>
        <s v="ORD1098"/>
        <s v="ORD1099"/>
        <s v="ORD1100"/>
        <s v="ORD1101"/>
        <s v="ORD1102"/>
        <s v="ORD1103"/>
        <s v="ORD1104"/>
        <s v="ORD1105"/>
        <s v="ORD1106"/>
        <s v="ORD1107"/>
        <s v="ORD1108"/>
        <s v="ORD1109"/>
        <s v="ORD1110"/>
        <s v="ORD1111"/>
        <s v="ORD1112"/>
        <s v="ORD1113"/>
        <s v="ORD1114"/>
        <s v="ORD1115"/>
        <s v="ORD1116"/>
        <s v="ORD1117"/>
        <s v="ORD1118"/>
        <s v="ORD1119"/>
        <s v="ORD1120"/>
        <s v="ORD1121"/>
        <s v="ORD1122"/>
        <s v="ORD1123"/>
        <s v="ORD1124"/>
        <s v="ORD1125"/>
        <s v="ORD1126"/>
        <s v="ORD1127"/>
        <s v="ORD1128"/>
        <s v="ORD1129"/>
        <s v="ORD1130"/>
        <s v="ORD1131"/>
        <s v="ORD1132"/>
        <s v="ORD1133"/>
        <s v="ORD1134"/>
        <s v="ORD1135"/>
        <s v="ORD1136"/>
        <s v="ORD1137"/>
        <s v="ORD1138"/>
        <s v="ORD1139"/>
        <s v="ORD1140"/>
        <s v="ORD1141"/>
        <s v="ORD1142"/>
        <s v="ORD1143"/>
        <s v="ORD1144"/>
        <s v="ORD1145"/>
        <s v="ORD1146"/>
        <s v="ORD1147"/>
        <s v="ORD1148"/>
        <s v="ORD1149"/>
        <s v="ORD1150"/>
        <s v="ORD1151"/>
        <s v="ORD1152"/>
        <s v="ORD1153"/>
        <s v="ORD1154"/>
        <s v="ORD1155"/>
        <s v="ORD1156"/>
        <s v="ORD1157"/>
        <s v="ORD1158"/>
        <s v="ORD1159"/>
        <s v="ORD1160"/>
        <s v="ORD1161"/>
        <s v="ORD1162"/>
        <s v="ORD1163"/>
        <s v="ORD1164"/>
        <s v="ORD1165"/>
        <s v="ORD1166"/>
        <s v="ORD1167"/>
        <s v="ORD1168"/>
        <s v="ORD1169"/>
        <s v="ORD1170"/>
        <s v="ORD1171"/>
        <s v="ORD1172"/>
        <s v="ORD1173"/>
        <s v="ORD1174"/>
        <s v="ORD1175"/>
        <s v="ORD1176"/>
        <s v="ORD1177"/>
        <s v="ORD1178"/>
        <s v="ORD1179"/>
        <s v="ORD1180"/>
        <s v="ORD1181"/>
        <s v="ORD1182"/>
        <s v="ORD1183"/>
        <s v="ORD1184"/>
        <s v="ORD1185"/>
        <s v="ORD1186"/>
        <s v="ORD1187"/>
        <s v="ORD1188"/>
        <s v="ORD1189"/>
        <s v="ORD1190"/>
        <s v="ORD1191"/>
        <s v="ORD1192"/>
        <s v="ORD1193"/>
        <s v="ORD1194"/>
        <s v="ORD1195"/>
        <s v="ORD1196"/>
        <s v="ORD1197"/>
        <s v="ORD1198"/>
        <s v="ORD1199"/>
        <s v="ORD1200"/>
        <s v="ORD1201"/>
        <s v="ORD1202"/>
        <s v="ORD1203"/>
        <s v="ORD1204"/>
        <s v="ORD1205"/>
        <s v="ORD1206"/>
        <s v="ORD1207"/>
        <s v="ORD1208"/>
        <s v="ORD1209"/>
        <s v="ORD1210"/>
        <s v="ORD1211"/>
        <s v="ORD1212"/>
        <s v="ORD1213"/>
        <s v="ORD1214"/>
        <s v="ORD1215"/>
        <s v="ORD1216"/>
        <s v="ORD1217"/>
        <s v="ORD1218"/>
        <s v="ORD1219"/>
        <s v="ORD1220"/>
        <s v="ORD1221"/>
        <s v="ORD1222"/>
        <s v="ORD1223"/>
        <s v="ORD1224"/>
        <s v="ORD1225"/>
        <s v="ORD1226"/>
        <s v="ORD1227"/>
        <s v="ORD1228"/>
        <s v="ORD1229"/>
        <s v="ORD1230"/>
        <s v="ORD1231"/>
        <s v="ORD1232"/>
        <s v="ORD1233"/>
        <s v="ORD1234"/>
        <s v="ORD1235"/>
        <s v="ORD1236"/>
        <s v="ORD1237"/>
        <s v="ORD1238"/>
        <s v="ORD1239"/>
        <s v="ORD1240"/>
        <s v="ORD1241"/>
        <s v="ORD1242"/>
        <s v="ORD1243"/>
        <s v="ORD1244"/>
        <s v="ORD1245"/>
        <s v="ORD1246"/>
        <s v="ORD1247"/>
        <s v="ORD1248"/>
        <s v="ORD1249"/>
        <s v="ORD1250"/>
        <s v="ORD1251"/>
        <s v="ORD1252"/>
        <s v="ORD1253"/>
        <s v="ORD1254"/>
        <s v="ORD1255"/>
        <s v="ORD1256"/>
        <s v="ORD1257"/>
        <s v="ORD1258"/>
        <s v="ORD1259"/>
        <s v="ORD1260"/>
        <s v="ORD1261"/>
        <s v="ORD1262"/>
        <s v="ORD1263"/>
        <s v="ORD1264"/>
        <s v="ORD1265"/>
        <s v="ORD1266"/>
        <s v="ORD1267"/>
        <s v="ORD1268"/>
        <s v="ORD1269"/>
        <s v="ORD1270"/>
        <s v="ORD1271"/>
        <s v="ORD1272"/>
        <s v="ORD1273"/>
        <s v="ORD1274"/>
        <s v="ORD1275"/>
        <s v="ORD1276"/>
        <s v="ORD1277"/>
        <s v="ORD1278"/>
        <s v="ORD1279"/>
        <s v="ORD1280"/>
        <s v="ORD1281"/>
        <s v="ORD1282"/>
        <s v="ORD1283"/>
        <s v="ORD1284"/>
        <s v="ORD1285"/>
        <s v="ORD1286"/>
        <s v="ORD1287"/>
        <s v="ORD1288"/>
        <s v="ORD1289"/>
        <s v="ORD1290"/>
        <s v="ORD1291"/>
        <s v="ORD1292"/>
        <s v="ORD1293"/>
        <s v="ORD1294"/>
        <s v="ORD1295"/>
        <s v="ORD1296"/>
        <s v="ORD1297"/>
        <s v="ORD1298"/>
        <s v="ORD1299"/>
        <s v="ORD1300"/>
        <s v="ORD1301"/>
        <s v="ORD1302"/>
        <s v="ORD1303"/>
        <s v="ORD1304"/>
        <s v="ORD1305"/>
        <s v="ORD1306"/>
        <s v="ORD1307"/>
        <s v="ORD1308"/>
        <s v="ORD1309"/>
        <s v="ORD1310"/>
        <s v="ORD1311"/>
        <s v="ORD1312"/>
        <s v="ORD1313"/>
        <s v="ORD1314"/>
        <s v="ORD1315"/>
        <s v="ORD1316"/>
        <s v="ORD1317"/>
        <s v="ORD1318"/>
        <s v="ORD1319"/>
        <s v="ORD1320"/>
        <s v="ORD1321"/>
        <s v="ORD1322"/>
        <s v="ORD1323"/>
        <s v="ORD1324"/>
        <s v="ORD1325"/>
        <s v="ORD1326"/>
        <s v="ORD1327"/>
        <s v="ORD1328"/>
        <s v="ORD1329"/>
        <s v="ORD1330"/>
        <s v="ORD1331"/>
        <s v="ORD1332"/>
        <s v="ORD1333"/>
        <s v="ORD1334"/>
        <s v="ORD1335"/>
        <s v="ORD1336"/>
        <s v="ORD1337"/>
        <s v="ORD1338"/>
        <s v="ORD1339"/>
        <s v="ORD1340"/>
        <s v="ORD1341"/>
        <s v="ORD1342"/>
        <s v="ORD1343"/>
        <s v="ORD1344"/>
        <s v="ORD1345"/>
        <s v="ORD1346"/>
        <s v="ORD1347"/>
        <s v="ORD1348"/>
        <s v="ORD1349"/>
        <s v="ORD1350"/>
        <s v="ORD1351"/>
        <s v="ORD1352"/>
        <s v="ORD1353"/>
        <s v="ORD1354"/>
        <s v="ORD1355"/>
        <s v="ORD1356"/>
        <s v="ORD1357"/>
        <s v="ORD1358"/>
        <s v="ORD1359"/>
        <s v="ORD1360"/>
        <s v="ORD1361"/>
        <s v="ORD1362"/>
        <s v="ORD1363"/>
        <s v="ORD1364"/>
        <s v="ORD1365"/>
        <s v="ORD1366"/>
        <s v="ORD1367"/>
        <s v="ORD1368"/>
        <s v="ORD1369"/>
        <s v="ORD1370"/>
        <s v="ORD1371"/>
        <s v="ORD1372"/>
        <s v="ORD1373"/>
        <s v="ORD1374"/>
        <s v="ORD1375"/>
        <s v="ORD1376"/>
        <s v="ORD1377"/>
        <s v="ORD1378"/>
        <s v="ORD1379"/>
        <s v="ORD1380"/>
        <s v="ORD1381"/>
        <s v="ORD1382"/>
        <s v="ORD1383"/>
        <s v="ORD1384"/>
        <s v="ORD1385"/>
        <s v="ORD1386"/>
        <s v="ORD1387"/>
        <s v="ORD1388"/>
        <s v="ORD1389"/>
        <s v="ORD1390"/>
        <s v="ORD1391"/>
        <s v="ORD1392"/>
        <s v="ORD1393"/>
        <s v="ORD1394"/>
        <s v="ORD1395"/>
        <s v="ORD1396"/>
        <s v="ORD1397"/>
        <s v="ORD1398"/>
        <s v="ORD1399"/>
        <s v="ORD1400"/>
        <s v="ORD1401"/>
        <s v="ORD1402"/>
        <s v="ORD1403"/>
        <s v="ORD1404"/>
        <s v="ORD1405"/>
        <s v="ORD1406"/>
        <s v="ORD1407"/>
        <s v="ORD1408"/>
        <s v="ORD1409"/>
        <s v="ORD1410"/>
        <s v="ORD1411"/>
        <s v="ORD1412"/>
        <s v="ORD1413"/>
        <s v="ORD1414"/>
        <s v="ORD1415"/>
        <s v="ORD1416"/>
        <s v="ORD1417"/>
        <s v="ORD1418"/>
        <s v="ORD1419"/>
        <s v="ORD1420"/>
        <s v="ORD1421"/>
        <s v="ORD1422"/>
        <s v="ORD1423"/>
        <s v="ORD1424"/>
        <s v="ORD1425"/>
        <s v="ORD1426"/>
        <s v="ORD1427"/>
        <s v="ORD1428"/>
        <s v="ORD1429"/>
        <s v="ORD1430"/>
        <s v="ORD1431"/>
        <s v="ORD1432"/>
        <s v="ORD1433"/>
        <s v="ORD1434"/>
        <s v="ORD1435"/>
        <s v="ORD1436"/>
        <s v="ORD1437"/>
        <s v="ORD1438"/>
        <s v="ORD1439"/>
        <s v="ORD1440"/>
        <s v="ORD1441"/>
        <s v="ORD1442"/>
        <s v="ORD1443"/>
        <s v="ORD1444"/>
        <s v="ORD1445"/>
        <s v="ORD1446"/>
        <s v="ORD1447"/>
        <s v="ORD1448"/>
        <s v="ORD1449"/>
        <s v="ORD1450"/>
        <s v="ORD1451"/>
        <s v="ORD1452"/>
        <s v="ORD1453"/>
        <s v="ORD1454"/>
        <s v="ORD1455"/>
        <s v="ORD1456"/>
        <s v="ORD1457"/>
        <s v="ORD1458"/>
        <s v="ORD1459"/>
        <s v="ORD1460"/>
        <s v="ORD1461"/>
        <s v="ORD1462"/>
        <s v="ORD1463"/>
        <s v="ORD1464"/>
        <s v="ORD1465"/>
        <s v="ORD1466"/>
        <s v="ORD1467"/>
        <s v="ORD1468"/>
        <s v="ORD1469"/>
        <s v="ORD1470"/>
        <s v="ORD1471"/>
        <s v="ORD1472"/>
        <s v="ORD1473"/>
        <s v="ORD1474"/>
        <s v="ORD1475"/>
        <s v="ORD1476"/>
        <s v="ORD1477"/>
        <s v="ORD1478"/>
        <s v="ORD1479"/>
        <s v="ORD1480"/>
        <s v="ORD1481"/>
        <s v="ORD1482"/>
        <s v="ORD1483"/>
        <s v="ORD1484"/>
        <s v="ORD1485"/>
        <s v="ORD1486"/>
        <s v="ORD1487"/>
        <s v="ORD1488"/>
        <s v="ORD1489"/>
        <s v="ORD1490"/>
        <s v="ORD1491"/>
        <s v="ORD1492"/>
        <s v="ORD1493"/>
        <s v="ORD1494"/>
        <s v="ORD1495"/>
        <s v="ORD1496"/>
        <s v="ORD1497"/>
        <s v="ORD1498"/>
        <s v="ORD1499"/>
      </sharedItems>
    </cacheField>
    <cacheField name="Customer ID" numFmtId="0">
      <sharedItems count="500">
        <s v="CUS500"/>
        <s v="CUS501"/>
        <s v="CUS502"/>
        <s v="CUS503"/>
        <s v="CUS504"/>
        <s v="CUS505"/>
        <s v="CUS506"/>
        <s v="CUS507"/>
        <s v="CUS508"/>
        <s v="CUS509"/>
        <s v="CUS510"/>
        <s v="CUS511"/>
        <s v="CUS512"/>
        <s v="CUS513"/>
        <s v="CUS514"/>
        <s v="CUS515"/>
        <s v="CUS516"/>
        <s v="CUS517"/>
        <s v="CUS518"/>
        <s v="CUS519"/>
        <s v="CUS520"/>
        <s v="CUS521"/>
        <s v="CUS522"/>
        <s v="CUS523"/>
        <s v="CUS524"/>
        <s v="CUS525"/>
        <s v="CUS526"/>
        <s v="CUS527"/>
        <s v="CUS528"/>
        <s v="CUS529"/>
        <s v="CUS530"/>
        <s v="CUS531"/>
        <s v="CUS532"/>
        <s v="CUS533"/>
        <s v="CUS534"/>
        <s v="CUS535"/>
        <s v="CUS536"/>
        <s v="CUS537"/>
        <s v="CUS538"/>
        <s v="CUS539"/>
        <s v="CUS540"/>
        <s v="CUS541"/>
        <s v="CUS542"/>
        <s v="CUS543"/>
        <s v="CUS544"/>
        <s v="CUS545"/>
        <s v="CUS546"/>
        <s v="CUS547"/>
        <s v="CUS548"/>
        <s v="CUS549"/>
        <s v="CUS550"/>
        <s v="CUS551"/>
        <s v="CUS552"/>
        <s v="CUS553"/>
        <s v="CUS554"/>
        <s v="CUS555"/>
        <s v="CUS556"/>
        <s v="CUS557"/>
        <s v="CUS558"/>
        <s v="CUS559"/>
        <s v="CUS560"/>
        <s v="CUS561"/>
        <s v="CUS562"/>
        <s v="CUS563"/>
        <s v="CUS564"/>
        <s v="CUS565"/>
        <s v="CUS566"/>
        <s v="CUS567"/>
        <s v="CUS568"/>
        <s v="CUS569"/>
        <s v="CUS570"/>
        <s v="CUS571"/>
        <s v="CUS572"/>
        <s v="CUS573"/>
        <s v="CUS574"/>
        <s v="CUS575"/>
        <s v="CUS576"/>
        <s v="CUS577"/>
        <s v="CUS578"/>
        <s v="CUS579"/>
        <s v="CUS580"/>
        <s v="CUS581"/>
        <s v="CUS582"/>
        <s v="CUS583"/>
        <s v="CUS584"/>
        <s v="CUS585"/>
        <s v="CUS586"/>
        <s v="CUS587"/>
        <s v="CUS588"/>
        <s v="CUS589"/>
        <s v="CUS590"/>
        <s v="CUS591"/>
        <s v="CUS592"/>
        <s v="CUS593"/>
        <s v="CUS594"/>
        <s v="CUS595"/>
        <s v="CUS596"/>
        <s v="CUS597"/>
        <s v="CUS598"/>
        <s v="CUS599"/>
        <s v="CUS600"/>
        <s v="CUS601"/>
        <s v="CUS602"/>
        <s v="CUS603"/>
        <s v="CUS604"/>
        <s v="CUS605"/>
        <s v="CUS606"/>
        <s v="CUS607"/>
        <s v="CUS608"/>
        <s v="CUS609"/>
        <s v="CUS610"/>
        <s v="CUS611"/>
        <s v="CUS612"/>
        <s v="CUS613"/>
        <s v="CUS614"/>
        <s v="CUS615"/>
        <s v="CUS616"/>
        <s v="CUS617"/>
        <s v="CUS618"/>
        <s v="CUS619"/>
        <s v="CUS620"/>
        <s v="CUS621"/>
        <s v="CUS622"/>
        <s v="CUS623"/>
        <s v="CUS624"/>
        <s v="CUS625"/>
        <s v="CUS626"/>
        <s v="CUS627"/>
        <s v="CUS628"/>
        <s v="CUS629"/>
        <s v="CUS630"/>
        <s v="CUS631"/>
        <s v="CUS632"/>
        <s v="CUS633"/>
        <s v="CUS634"/>
        <s v="CUS635"/>
        <s v="CUS636"/>
        <s v="CUS637"/>
        <s v="CUS638"/>
        <s v="CUS639"/>
        <s v="CUS640"/>
        <s v="CUS641"/>
        <s v="CUS642"/>
        <s v="CUS643"/>
        <s v="CUS644"/>
        <s v="CUS645"/>
        <s v="CUS646"/>
        <s v="CUS647"/>
        <s v="CUS648"/>
        <s v="CUS649"/>
        <s v="CUS650"/>
        <s v="CUS651"/>
        <s v="CUS652"/>
        <s v="CUS653"/>
        <s v="CUS654"/>
        <s v="CUS655"/>
        <s v="CUS656"/>
        <s v="CUS657"/>
        <s v="CUS658"/>
        <s v="CUS659"/>
        <s v="CUS660"/>
        <s v="CUS661"/>
        <s v="CUS662"/>
        <s v="CUS663"/>
        <s v="CUS664"/>
        <s v="CUS665"/>
        <s v="CUS666"/>
        <s v="CUS667"/>
        <s v="CUS668"/>
        <s v="CUS669"/>
        <s v="CUS670"/>
        <s v="CUS671"/>
        <s v="CUS672"/>
        <s v="CUS673"/>
        <s v="CUS674"/>
        <s v="CUS675"/>
        <s v="CUS676"/>
        <s v="CUS677"/>
        <s v="CUS678"/>
        <s v="CUS679"/>
        <s v="CUS680"/>
        <s v="CUS681"/>
        <s v="CUS682"/>
        <s v="CUS683"/>
        <s v="CUS684"/>
        <s v="CUS685"/>
        <s v="CUS686"/>
        <s v="CUS687"/>
        <s v="CUS688"/>
        <s v="CUS689"/>
        <s v="CUS690"/>
        <s v="CUS691"/>
        <s v="CUS692"/>
        <s v="CUS693"/>
        <s v="CUS694"/>
        <s v="CUS695"/>
        <s v="CUS696"/>
        <s v="CUS697"/>
        <s v="CUS698"/>
        <s v="CUS699"/>
        <s v="CUS700"/>
        <s v="CUS701"/>
        <s v="CUS702"/>
        <s v="CUS703"/>
        <s v="CUS704"/>
        <s v="CUS705"/>
        <s v="CUS706"/>
        <s v="CUS707"/>
        <s v="CUS708"/>
        <s v="CUS709"/>
        <s v="CUS710"/>
        <s v="CUS711"/>
        <s v="CUS712"/>
        <s v="CUS713"/>
        <s v="CUS714"/>
        <s v="CUS715"/>
        <s v="CUS716"/>
        <s v="CUS717"/>
        <s v="CUS718"/>
        <s v="CUS719"/>
        <s v="CUS720"/>
        <s v="CUS721"/>
        <s v="CUS722"/>
        <s v="CUS723"/>
        <s v="CUS724"/>
        <s v="CUS725"/>
        <s v="CUS726"/>
        <s v="CUS727"/>
        <s v="CUS728"/>
        <s v="CUS729"/>
        <s v="CUS730"/>
        <s v="CUS731"/>
        <s v="CUS732"/>
        <s v="CUS733"/>
        <s v="CUS734"/>
        <s v="CUS735"/>
        <s v="CUS736"/>
        <s v="CUS737"/>
        <s v="CUS738"/>
        <s v="CUS739"/>
        <s v="CUS740"/>
        <s v="CUS741"/>
        <s v="CUS742"/>
        <s v="CUS743"/>
        <s v="CUS744"/>
        <s v="CUS745"/>
        <s v="CUS746"/>
        <s v="CUS747"/>
        <s v="CUS748"/>
        <s v="CUS749"/>
        <s v="CUS750"/>
        <s v="CUS751"/>
        <s v="CUS752"/>
        <s v="CUS753"/>
        <s v="CUS754"/>
        <s v="CUS755"/>
        <s v="CUS756"/>
        <s v="CUS757"/>
        <s v="CUS758"/>
        <s v="CUS759"/>
        <s v="CUS760"/>
        <s v="CUS761"/>
        <s v="CUS762"/>
        <s v="CUS763"/>
        <s v="CUS764"/>
        <s v="CUS765"/>
        <s v="CUS766"/>
        <s v="CUS767"/>
        <s v="CUS768"/>
        <s v="CUS769"/>
        <s v="CUS770"/>
        <s v="CUS771"/>
        <s v="CUS772"/>
        <s v="CUS773"/>
        <s v="CUS774"/>
        <s v="CUS775"/>
        <s v="CUS776"/>
        <s v="CUS777"/>
        <s v="CUS778"/>
        <s v="CUS779"/>
        <s v="CUS780"/>
        <s v="CUS781"/>
        <s v="CUS782"/>
        <s v="CUS783"/>
        <s v="CUS784"/>
        <s v="CUS785"/>
        <s v="CUS786"/>
        <s v="CUS787"/>
        <s v="CUS788"/>
        <s v="CUS789"/>
        <s v="CUS790"/>
        <s v="CUS791"/>
        <s v="CUS792"/>
        <s v="CUS793"/>
        <s v="CUS794"/>
        <s v="CUS795"/>
        <s v="CUS796"/>
        <s v="CUS797"/>
        <s v="CUS798"/>
        <s v="CUS799"/>
        <s v="CUS800"/>
        <s v="CUS801"/>
        <s v="CUS802"/>
        <s v="CUS803"/>
        <s v="CUS804"/>
        <s v="CUS805"/>
        <s v="CUS806"/>
        <s v="CUS807"/>
        <s v="CUS808"/>
        <s v="CUS809"/>
        <s v="CUS810"/>
        <s v="CUS811"/>
        <s v="CUS812"/>
        <s v="CUS813"/>
        <s v="CUS814"/>
        <s v="CUS815"/>
        <s v="CUS816"/>
        <s v="CUS817"/>
        <s v="CUS818"/>
        <s v="CUS819"/>
        <s v="CUS820"/>
        <s v="CUS821"/>
        <s v="CUS822"/>
        <s v="CUS823"/>
        <s v="CUS824"/>
        <s v="CUS825"/>
        <s v="CUS826"/>
        <s v="CUS827"/>
        <s v="CUS828"/>
        <s v="CUS829"/>
        <s v="CUS830"/>
        <s v="CUS831"/>
        <s v="CUS832"/>
        <s v="CUS833"/>
        <s v="CUS834"/>
        <s v="CUS835"/>
        <s v="CUS836"/>
        <s v="CUS837"/>
        <s v="CUS838"/>
        <s v="CUS839"/>
        <s v="CUS840"/>
        <s v="CUS841"/>
        <s v="CUS842"/>
        <s v="CUS843"/>
        <s v="CUS844"/>
        <s v="CUS845"/>
        <s v="CUS846"/>
        <s v="CUS847"/>
        <s v="CUS848"/>
        <s v="CUS849"/>
        <s v="CUS850"/>
        <s v="CUS851"/>
        <s v="CUS852"/>
        <s v="CUS853"/>
        <s v="CUS854"/>
        <s v="CUS855"/>
        <s v="CUS856"/>
        <s v="CUS857"/>
        <s v="CUS858"/>
        <s v="CUS859"/>
        <s v="CUS860"/>
        <s v="CUS861"/>
        <s v="CUS862"/>
        <s v="CUS863"/>
        <s v="CUS864"/>
        <s v="CUS865"/>
        <s v="CUS866"/>
        <s v="CUS867"/>
        <s v="CUS868"/>
        <s v="CUS869"/>
        <s v="CUS870"/>
        <s v="CUS871"/>
        <s v="CUS872"/>
        <s v="CUS873"/>
        <s v="CUS874"/>
        <s v="CUS875"/>
        <s v="CUS876"/>
        <s v="CUS877"/>
        <s v="CUS878"/>
        <s v="CUS879"/>
        <s v="CUS880"/>
        <s v="CUS881"/>
        <s v="CUS882"/>
        <s v="CUS883"/>
        <s v="CUS884"/>
        <s v="CUS885"/>
        <s v="CUS886"/>
        <s v="CUS887"/>
        <s v="CUS888"/>
        <s v="CUS889"/>
        <s v="CUS890"/>
        <s v="CUS891"/>
        <s v="CUS892"/>
        <s v="CUS893"/>
        <s v="CUS894"/>
        <s v="CUS895"/>
        <s v="CUS896"/>
        <s v="CUS897"/>
        <s v="CUS898"/>
        <s v="CUS899"/>
        <s v="CUS900"/>
        <s v="CUS901"/>
        <s v="CUS902"/>
        <s v="CUS903"/>
        <s v="CUS904"/>
        <s v="CUS905"/>
        <s v="CUS906"/>
        <s v="CUS907"/>
        <s v="CUS908"/>
        <s v="CUS909"/>
        <s v="CUS910"/>
        <s v="CUS911"/>
        <s v="CUS912"/>
        <s v="CUS913"/>
        <s v="CUS914"/>
        <s v="CUS915"/>
        <s v="CUS916"/>
        <s v="CUS917"/>
        <s v="CUS918"/>
        <s v="CUS919"/>
        <s v="CUS920"/>
        <s v="CUS921"/>
        <s v="CUS922"/>
        <s v="CUS923"/>
        <s v="CUS924"/>
        <s v="CUS925"/>
        <s v="CUS926"/>
        <s v="CUS927"/>
        <s v="CUS928"/>
        <s v="CUS929"/>
        <s v="CUS930"/>
        <s v="CUS931"/>
        <s v="CUS932"/>
        <s v="CUS933"/>
        <s v="CUS934"/>
        <s v="CUS935"/>
        <s v="CUS936"/>
        <s v="CUS937"/>
        <s v="CUS938"/>
        <s v="CUS939"/>
        <s v="CUS940"/>
        <s v="CUS941"/>
        <s v="CUS942"/>
        <s v="CUS943"/>
        <s v="CUS944"/>
        <s v="CUS945"/>
        <s v="CUS946"/>
        <s v="CUS947"/>
        <s v="CUS948"/>
        <s v="CUS949"/>
        <s v="CUS950"/>
        <s v="CUS951"/>
        <s v="CUS952"/>
        <s v="CUS953"/>
        <s v="CUS954"/>
        <s v="CUS955"/>
        <s v="CUS956"/>
        <s v="CUS957"/>
        <s v="CUS958"/>
        <s v="CUS959"/>
        <s v="CUS960"/>
        <s v="CUS961"/>
        <s v="CUS962"/>
        <s v="CUS963"/>
        <s v="CUS964"/>
        <s v="CUS965"/>
        <s v="CUS966"/>
        <s v="CUS967"/>
        <s v="CUS968"/>
        <s v="CUS969"/>
        <s v="CUS970"/>
        <s v="CUS971"/>
        <s v="CUS972"/>
        <s v="CUS973"/>
        <s v="CUS974"/>
        <s v="CUS975"/>
        <s v="CUS976"/>
        <s v="CUS977"/>
        <s v="CUS978"/>
        <s v="CUS979"/>
        <s v="CUS980"/>
        <s v="CUS981"/>
        <s v="CUS982"/>
        <s v="CUS983"/>
        <s v="CUS984"/>
        <s v="CUS985"/>
        <s v="CUS986"/>
        <s v="CUS987"/>
        <s v="CUS988"/>
        <s v="CUS989"/>
        <s v="CUS990"/>
        <s v="CUS991"/>
        <s v="CUS992"/>
        <s v="CUS993"/>
        <s v="CUS994"/>
        <s v="CUS995"/>
        <s v="CUS996"/>
        <s v="CUS997"/>
        <s v="CUS998"/>
        <s v="CUS999"/>
      </sharedItems>
    </cacheField>
    <cacheField name="Customer Name" numFmtId="0">
      <sharedItems/>
    </cacheField>
    <cacheField name="Age" numFmtId="0">
      <sharedItems containsSemiMixedTypes="0" containsString="0" containsNumber="1" containsInteger="1" minValue="18" maxValue="65" count="48">
        <n v="24"/>
        <n v="45"/>
        <n v="48"/>
        <n v="57"/>
        <n v="43"/>
        <n v="27"/>
        <n v="37"/>
        <n v="47"/>
        <n v="51"/>
        <n v="44"/>
        <n v="49"/>
        <n v="22"/>
        <n v="30"/>
        <n v="32"/>
        <n v="41"/>
        <n v="33"/>
        <n v="25"/>
        <n v="58"/>
        <n v="38"/>
        <n v="26"/>
        <n v="63"/>
        <n v="42"/>
        <n v="31"/>
        <n v="62"/>
        <n v="55"/>
        <n v="29"/>
        <n v="60"/>
        <n v="39"/>
        <n v="46"/>
        <n v="56"/>
        <n v="23"/>
        <n v="18"/>
        <n v="35"/>
        <n v="21"/>
        <n v="59"/>
        <n v="20"/>
        <n v="54"/>
        <n v="52"/>
        <n v="61"/>
        <n v="34"/>
        <n v="65"/>
        <n v="19"/>
        <n v="28"/>
        <n v="64"/>
        <n v="36"/>
        <n v="53"/>
        <n v="50"/>
        <n v="40"/>
      </sharedItems>
    </cacheField>
    <cacheField name="Age Group " numFmtId="0">
      <sharedItems count="3">
        <s v="Teenager"/>
        <s v="Adult"/>
        <s v="Senior"/>
      </sharedItems>
    </cacheField>
    <cacheField name="Gender" numFmtId="0">
      <sharedItems count="2">
        <s v="Male"/>
        <s v="Female"/>
      </sharedItems>
    </cacheField>
    <cacheField name="City" numFmtId="0">
      <sharedItems/>
    </cacheField>
    <cacheField name="State" numFmtId="0">
      <sharedItems count="7">
        <s v="Maharashtra"/>
        <s v="Karnataka"/>
        <s v="Delhi"/>
        <s v="West Bengal"/>
        <s v="Rajasthan"/>
        <s v="Tamil Nadu"/>
        <s v="Gujarat"/>
      </sharedItems>
    </cacheField>
    <cacheField name="Product" numFmtId="0">
      <sharedItems count="6">
        <s v="Bluetooth Speaker"/>
        <s v="Laptop"/>
        <s v="Tablet"/>
        <s v="Earbuds"/>
        <s v="Smartphone"/>
        <s v="Smartwatch"/>
      </sharedItems>
    </cacheField>
    <cacheField name="Channel" numFmtId="0">
      <sharedItems count="5">
        <s v="Myntra"/>
        <s v="Flipkart"/>
        <s v="Ajio"/>
        <s v="Amazon"/>
        <s v="Snapdeal"/>
      </sharedItems>
    </cacheField>
    <cacheField name="Date" numFmtId="164">
      <sharedItems containsSemiMixedTypes="0" containsNonDate="0" containsDate="1" containsString="0" minDate="2024-10-20T00:00:00" maxDate="2025-10-21T00:00:00"/>
    </cacheField>
    <cacheField name="Month" numFmtId="164">
      <sharedItems count="12">
        <s v="October"/>
        <s v="February"/>
        <s v="May"/>
        <s v="August"/>
        <s v="January"/>
        <s v="March"/>
        <s v="September"/>
        <s v="November"/>
        <s v="June"/>
        <s v="April"/>
        <s v="December"/>
        <s v="July"/>
      </sharedItems>
    </cacheField>
    <cacheField name="Quantity" numFmtId="0">
      <sharedItems containsSemiMixedTypes="0" containsString="0" containsNumber="1" containsInteger="1" minValue="1" maxValue="5"/>
    </cacheField>
    <cacheField name="Total Spent" numFmtId="0">
      <sharedItems containsSemiMixedTypes="0" containsString="0" containsNumber="1" containsInteger="1" minValue="2000" maxValue="275000" count="25">
        <n v="12500"/>
        <n v="275000"/>
        <n v="90000"/>
        <n v="6000"/>
        <n v="120000"/>
        <n v="30000"/>
        <n v="15000"/>
        <n v="60000"/>
        <n v="150000"/>
        <n v="55000"/>
        <n v="8000"/>
        <n v="165000"/>
        <n v="4000"/>
        <n v="45000"/>
        <n v="7500"/>
        <n v="5000"/>
        <n v="10000"/>
        <n v="12000"/>
        <n v="75000"/>
        <n v="2000"/>
        <n v="18000"/>
        <n v="2500"/>
        <n v="24000"/>
        <n v="110000"/>
        <n v="220000"/>
      </sharedItems>
    </cacheField>
  </cacheFields>
  <extLst>
    <ext xmlns:x14="http://schemas.microsoft.com/office/spreadsheetml/2009/9/main" uri="{725AE2AE-9491-48be-B2B4-4EB974FC3084}">
      <x14:pivotCacheDefinition pivotCacheId="207178222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x v="0"/>
    <x v="0"/>
    <s v="Divya Iyer"/>
    <x v="0"/>
    <x v="0"/>
    <x v="0"/>
    <s v="Mumbai"/>
    <x v="0"/>
    <x v="0"/>
    <x v="0"/>
    <d v="2024-10-29T00:00:00"/>
    <x v="0"/>
    <n v="5"/>
    <x v="0"/>
  </r>
  <r>
    <x v="1"/>
    <x v="1"/>
    <s v="Suresh Gupta"/>
    <x v="1"/>
    <x v="1"/>
    <x v="0"/>
    <s v="Mangalore"/>
    <x v="1"/>
    <x v="1"/>
    <x v="1"/>
    <d v="2025-02-28T00:00:00"/>
    <x v="1"/>
    <n v="5"/>
    <x v="1"/>
  </r>
  <r>
    <x v="2"/>
    <x v="2"/>
    <s v="Sneha Verma"/>
    <x v="2"/>
    <x v="1"/>
    <x v="1"/>
    <s v="New Delhi"/>
    <x v="2"/>
    <x v="2"/>
    <x v="1"/>
    <d v="2025-05-18T00:00:00"/>
    <x v="2"/>
    <n v="3"/>
    <x v="2"/>
  </r>
  <r>
    <x v="3"/>
    <x v="3"/>
    <s v="Kavita Gupta"/>
    <x v="3"/>
    <x v="2"/>
    <x v="0"/>
    <s v="Howrah"/>
    <x v="3"/>
    <x v="3"/>
    <x v="2"/>
    <d v="2025-08-10T00:00:00"/>
    <x v="3"/>
    <n v="3"/>
    <x v="3"/>
  </r>
  <r>
    <x v="4"/>
    <x v="4"/>
    <s v="Rohan Gupta"/>
    <x v="4"/>
    <x v="1"/>
    <x v="1"/>
    <s v="New Delhi"/>
    <x v="2"/>
    <x v="2"/>
    <x v="3"/>
    <d v="2025-01-26T00:00:00"/>
    <x v="4"/>
    <n v="4"/>
    <x v="4"/>
  </r>
  <r>
    <x v="5"/>
    <x v="5"/>
    <s v="Sneha Kumar"/>
    <x v="5"/>
    <x v="0"/>
    <x v="0"/>
    <s v="Jodhpur"/>
    <x v="4"/>
    <x v="2"/>
    <x v="4"/>
    <d v="2025-03-30T00:00:00"/>
    <x v="5"/>
    <n v="1"/>
    <x v="5"/>
  </r>
  <r>
    <x v="6"/>
    <x v="6"/>
    <s v="Kavita Singh"/>
    <x v="6"/>
    <x v="1"/>
    <x v="0"/>
    <s v="Nagpur"/>
    <x v="0"/>
    <x v="4"/>
    <x v="2"/>
    <d v="2025-08-27T00:00:00"/>
    <x v="3"/>
    <n v="1"/>
    <x v="6"/>
  </r>
  <r>
    <x v="7"/>
    <x v="7"/>
    <s v="Amit Nair"/>
    <x v="7"/>
    <x v="1"/>
    <x v="0"/>
    <s v="New Delhi"/>
    <x v="2"/>
    <x v="1"/>
    <x v="0"/>
    <d v="2025-02-02T00:00:00"/>
    <x v="1"/>
    <n v="5"/>
    <x v="1"/>
  </r>
  <r>
    <x v="8"/>
    <x v="8"/>
    <s v="Rahul Yadav"/>
    <x v="8"/>
    <x v="2"/>
    <x v="0"/>
    <s v="Madurai"/>
    <x v="5"/>
    <x v="4"/>
    <x v="4"/>
    <d v="2025-02-28T00:00:00"/>
    <x v="1"/>
    <n v="4"/>
    <x v="7"/>
  </r>
  <r>
    <x v="9"/>
    <x v="9"/>
    <s v="Priya Patel"/>
    <x v="9"/>
    <x v="1"/>
    <x v="1"/>
    <s v="Durgapur"/>
    <x v="3"/>
    <x v="2"/>
    <x v="2"/>
    <d v="2025-03-12T00:00:00"/>
    <x v="5"/>
    <n v="5"/>
    <x v="8"/>
  </r>
  <r>
    <x v="10"/>
    <x v="10"/>
    <s v="Sneha Kumar"/>
    <x v="10"/>
    <x v="1"/>
    <x v="0"/>
    <s v="Ahmedabad"/>
    <x v="6"/>
    <x v="2"/>
    <x v="2"/>
    <d v="2025-09-12T00:00:00"/>
    <x v="6"/>
    <n v="3"/>
    <x v="2"/>
  </r>
  <r>
    <x v="11"/>
    <x v="11"/>
    <s v="Arjun Patel"/>
    <x v="11"/>
    <x v="0"/>
    <x v="0"/>
    <s v="Howrah"/>
    <x v="3"/>
    <x v="4"/>
    <x v="3"/>
    <d v="2025-09-26T00:00:00"/>
    <x v="6"/>
    <n v="1"/>
    <x v="6"/>
  </r>
  <r>
    <x v="12"/>
    <x v="12"/>
    <s v="Arjun Yadav"/>
    <x v="12"/>
    <x v="1"/>
    <x v="0"/>
    <s v="Kolkata"/>
    <x v="3"/>
    <x v="1"/>
    <x v="2"/>
    <d v="2024-11-10T00:00:00"/>
    <x v="7"/>
    <n v="1"/>
    <x v="9"/>
  </r>
  <r>
    <x v="13"/>
    <x v="13"/>
    <s v="Rahul Verma"/>
    <x v="13"/>
    <x v="1"/>
    <x v="0"/>
    <s v="Jaipur"/>
    <x v="4"/>
    <x v="1"/>
    <x v="2"/>
    <d v="2025-01-26T00:00:00"/>
    <x v="4"/>
    <n v="5"/>
    <x v="1"/>
  </r>
  <r>
    <x v="14"/>
    <x v="14"/>
    <s v="Priya Kumar"/>
    <x v="14"/>
    <x v="1"/>
    <x v="1"/>
    <s v="Madurai"/>
    <x v="5"/>
    <x v="2"/>
    <x v="2"/>
    <d v="2024-10-23T00:00:00"/>
    <x v="0"/>
    <n v="1"/>
    <x v="5"/>
  </r>
  <r>
    <x v="15"/>
    <x v="15"/>
    <s v="Priya Patel"/>
    <x v="15"/>
    <x v="1"/>
    <x v="1"/>
    <s v="Mangalore"/>
    <x v="1"/>
    <x v="2"/>
    <x v="3"/>
    <d v="2025-08-27T00:00:00"/>
    <x v="3"/>
    <n v="1"/>
    <x v="5"/>
  </r>
  <r>
    <x v="16"/>
    <x v="16"/>
    <s v="Manish Iyer"/>
    <x v="13"/>
    <x v="1"/>
    <x v="1"/>
    <s v="Howrah"/>
    <x v="3"/>
    <x v="3"/>
    <x v="1"/>
    <d v="2025-05-05T00:00:00"/>
    <x v="2"/>
    <n v="4"/>
    <x v="10"/>
  </r>
  <r>
    <x v="17"/>
    <x v="17"/>
    <s v="Ritu Kumar"/>
    <x v="16"/>
    <x v="0"/>
    <x v="1"/>
    <s v="Jaipur"/>
    <x v="4"/>
    <x v="2"/>
    <x v="3"/>
    <d v="2025-06-17T00:00:00"/>
    <x v="8"/>
    <n v="3"/>
    <x v="2"/>
  </r>
  <r>
    <x v="18"/>
    <x v="18"/>
    <s v="Neha Iyer"/>
    <x v="17"/>
    <x v="2"/>
    <x v="1"/>
    <s v="Ahmedabad"/>
    <x v="6"/>
    <x v="4"/>
    <x v="0"/>
    <d v="2025-10-04T00:00:00"/>
    <x v="0"/>
    <n v="4"/>
    <x v="7"/>
  </r>
  <r>
    <x v="19"/>
    <x v="19"/>
    <s v="Suresh Singh"/>
    <x v="18"/>
    <x v="1"/>
    <x v="1"/>
    <s v="New Delhi"/>
    <x v="2"/>
    <x v="1"/>
    <x v="3"/>
    <d v="2025-10-07T00:00:00"/>
    <x v="0"/>
    <n v="3"/>
    <x v="11"/>
  </r>
  <r>
    <x v="20"/>
    <x v="20"/>
    <s v="Sneha Patel"/>
    <x v="13"/>
    <x v="1"/>
    <x v="1"/>
    <s v="Mumbai"/>
    <x v="0"/>
    <x v="3"/>
    <x v="1"/>
    <d v="2024-11-11T00:00:00"/>
    <x v="7"/>
    <n v="2"/>
    <x v="12"/>
  </r>
  <r>
    <x v="21"/>
    <x v="21"/>
    <s v="Vikas Nair"/>
    <x v="19"/>
    <x v="0"/>
    <x v="1"/>
    <s v="Kolkata"/>
    <x v="3"/>
    <x v="1"/>
    <x v="0"/>
    <d v="2025-08-06T00:00:00"/>
    <x v="3"/>
    <n v="5"/>
    <x v="1"/>
  </r>
  <r>
    <x v="22"/>
    <x v="22"/>
    <s v="Manish Patel"/>
    <x v="7"/>
    <x v="1"/>
    <x v="0"/>
    <s v="Madurai"/>
    <x v="5"/>
    <x v="2"/>
    <x v="2"/>
    <d v="2025-09-22T00:00:00"/>
    <x v="6"/>
    <n v="1"/>
    <x v="5"/>
  </r>
  <r>
    <x v="23"/>
    <x v="23"/>
    <s v="Sneha Gupta"/>
    <x v="20"/>
    <x v="2"/>
    <x v="0"/>
    <s v="Coimbatore"/>
    <x v="5"/>
    <x v="5"/>
    <x v="2"/>
    <d v="2024-11-30T00:00:00"/>
    <x v="7"/>
    <n v="5"/>
    <x v="5"/>
  </r>
  <r>
    <x v="24"/>
    <x v="24"/>
    <s v="Raj Yadav"/>
    <x v="21"/>
    <x v="1"/>
    <x v="0"/>
    <s v="Nagpur"/>
    <x v="0"/>
    <x v="4"/>
    <x v="4"/>
    <d v="2025-04-13T00:00:00"/>
    <x v="9"/>
    <n v="3"/>
    <x v="13"/>
  </r>
  <r>
    <x v="25"/>
    <x v="25"/>
    <s v="Vikas Sharma"/>
    <x v="22"/>
    <x v="1"/>
    <x v="0"/>
    <s v="New Delhi"/>
    <x v="2"/>
    <x v="0"/>
    <x v="0"/>
    <d v="2025-08-26T00:00:00"/>
    <x v="3"/>
    <n v="3"/>
    <x v="14"/>
  </r>
  <r>
    <x v="26"/>
    <x v="26"/>
    <s v="Divya Gupta"/>
    <x v="23"/>
    <x v="2"/>
    <x v="0"/>
    <s v="Ahmedabad"/>
    <x v="6"/>
    <x v="3"/>
    <x v="3"/>
    <d v="2025-04-12T00:00:00"/>
    <x v="9"/>
    <n v="2"/>
    <x v="12"/>
  </r>
  <r>
    <x v="27"/>
    <x v="27"/>
    <s v="Arjun Sharma"/>
    <x v="11"/>
    <x v="0"/>
    <x v="0"/>
    <s v="Surat"/>
    <x v="6"/>
    <x v="1"/>
    <x v="1"/>
    <d v="2025-01-12T00:00:00"/>
    <x v="4"/>
    <n v="3"/>
    <x v="11"/>
  </r>
  <r>
    <x v="28"/>
    <x v="28"/>
    <s v="Manish Nair"/>
    <x v="16"/>
    <x v="0"/>
    <x v="1"/>
    <s v="New Delhi"/>
    <x v="2"/>
    <x v="5"/>
    <x v="2"/>
    <d v="2025-04-03T00:00:00"/>
    <x v="9"/>
    <n v="1"/>
    <x v="3"/>
  </r>
  <r>
    <x v="29"/>
    <x v="29"/>
    <s v="Ritu Patel"/>
    <x v="22"/>
    <x v="1"/>
    <x v="0"/>
    <s v="Jodhpur"/>
    <x v="4"/>
    <x v="0"/>
    <x v="4"/>
    <d v="2025-01-27T00:00:00"/>
    <x v="4"/>
    <n v="2"/>
    <x v="15"/>
  </r>
  <r>
    <x v="30"/>
    <x v="30"/>
    <s v="Vikas Sharma"/>
    <x v="24"/>
    <x v="2"/>
    <x v="1"/>
    <s v="Vadodara"/>
    <x v="6"/>
    <x v="4"/>
    <x v="4"/>
    <d v="2025-06-27T00:00:00"/>
    <x v="8"/>
    <n v="1"/>
    <x v="6"/>
  </r>
  <r>
    <x v="31"/>
    <x v="31"/>
    <s v="Ritu Iyer"/>
    <x v="12"/>
    <x v="1"/>
    <x v="1"/>
    <s v="Bengaluru"/>
    <x v="1"/>
    <x v="4"/>
    <x v="3"/>
    <d v="2025-01-18T00:00:00"/>
    <x v="4"/>
    <n v="3"/>
    <x v="13"/>
  </r>
  <r>
    <x v="32"/>
    <x v="32"/>
    <s v="Amit Singh"/>
    <x v="25"/>
    <x v="0"/>
    <x v="1"/>
    <s v="New Delhi"/>
    <x v="2"/>
    <x v="2"/>
    <x v="4"/>
    <d v="2025-09-01T00:00:00"/>
    <x v="6"/>
    <n v="3"/>
    <x v="2"/>
  </r>
  <r>
    <x v="33"/>
    <x v="33"/>
    <s v="Manish Gupta"/>
    <x v="26"/>
    <x v="2"/>
    <x v="0"/>
    <s v="Mumbai"/>
    <x v="0"/>
    <x v="0"/>
    <x v="4"/>
    <d v="2024-10-22T00:00:00"/>
    <x v="0"/>
    <n v="4"/>
    <x v="16"/>
  </r>
  <r>
    <x v="34"/>
    <x v="34"/>
    <s v="Manish Sharma"/>
    <x v="22"/>
    <x v="1"/>
    <x v="1"/>
    <s v="New Delhi"/>
    <x v="2"/>
    <x v="5"/>
    <x v="3"/>
    <d v="2025-02-13T00:00:00"/>
    <x v="1"/>
    <n v="2"/>
    <x v="17"/>
  </r>
  <r>
    <x v="35"/>
    <x v="35"/>
    <s v="Manish Singh"/>
    <x v="20"/>
    <x v="2"/>
    <x v="0"/>
    <s v="Madurai"/>
    <x v="5"/>
    <x v="4"/>
    <x v="0"/>
    <d v="2025-04-08T00:00:00"/>
    <x v="9"/>
    <n v="5"/>
    <x v="18"/>
  </r>
  <r>
    <x v="36"/>
    <x v="36"/>
    <s v="Kavita Gupta"/>
    <x v="25"/>
    <x v="0"/>
    <x v="1"/>
    <s v="Surat"/>
    <x v="6"/>
    <x v="2"/>
    <x v="2"/>
    <d v="2024-10-27T00:00:00"/>
    <x v="0"/>
    <n v="2"/>
    <x v="7"/>
  </r>
  <r>
    <x v="37"/>
    <x v="37"/>
    <s v="Sneha Sharma"/>
    <x v="3"/>
    <x v="2"/>
    <x v="0"/>
    <s v="Jaipur"/>
    <x v="4"/>
    <x v="0"/>
    <x v="2"/>
    <d v="2025-02-09T00:00:00"/>
    <x v="1"/>
    <n v="4"/>
    <x v="16"/>
  </r>
  <r>
    <x v="38"/>
    <x v="38"/>
    <s v="Kavita Iyer"/>
    <x v="19"/>
    <x v="0"/>
    <x v="0"/>
    <s v="Udaipur"/>
    <x v="4"/>
    <x v="4"/>
    <x v="3"/>
    <d v="2024-12-15T00:00:00"/>
    <x v="10"/>
    <n v="1"/>
    <x v="6"/>
  </r>
  <r>
    <x v="39"/>
    <x v="39"/>
    <s v="Raj Iyer"/>
    <x v="4"/>
    <x v="1"/>
    <x v="0"/>
    <s v="Vadodara"/>
    <x v="6"/>
    <x v="3"/>
    <x v="1"/>
    <d v="2024-12-03T00:00:00"/>
    <x v="10"/>
    <n v="1"/>
    <x v="19"/>
  </r>
  <r>
    <x v="40"/>
    <x v="40"/>
    <s v="Ritu Iyer"/>
    <x v="27"/>
    <x v="1"/>
    <x v="0"/>
    <s v="Pune"/>
    <x v="0"/>
    <x v="1"/>
    <x v="4"/>
    <d v="2025-10-13T00:00:00"/>
    <x v="0"/>
    <n v="3"/>
    <x v="11"/>
  </r>
  <r>
    <x v="41"/>
    <x v="41"/>
    <s v="Neha Gupta"/>
    <x v="23"/>
    <x v="2"/>
    <x v="0"/>
    <s v="Ahmedabad"/>
    <x v="6"/>
    <x v="5"/>
    <x v="0"/>
    <d v="2025-02-04T00:00:00"/>
    <x v="1"/>
    <n v="3"/>
    <x v="20"/>
  </r>
  <r>
    <x v="42"/>
    <x v="42"/>
    <s v="Manish Iyer"/>
    <x v="28"/>
    <x v="1"/>
    <x v="0"/>
    <s v="Ahmedabad"/>
    <x v="6"/>
    <x v="4"/>
    <x v="1"/>
    <d v="2025-04-20T00:00:00"/>
    <x v="9"/>
    <n v="3"/>
    <x v="13"/>
  </r>
  <r>
    <x v="43"/>
    <x v="43"/>
    <s v="Suresh Iyer"/>
    <x v="29"/>
    <x v="2"/>
    <x v="1"/>
    <s v="Bengaluru"/>
    <x v="1"/>
    <x v="3"/>
    <x v="1"/>
    <d v="2025-09-24T00:00:00"/>
    <x v="6"/>
    <n v="2"/>
    <x v="12"/>
  </r>
  <r>
    <x v="44"/>
    <x v="44"/>
    <s v="Kavita Reddy"/>
    <x v="7"/>
    <x v="1"/>
    <x v="1"/>
    <s v="Kolkata"/>
    <x v="3"/>
    <x v="0"/>
    <x v="2"/>
    <d v="2025-06-27T00:00:00"/>
    <x v="8"/>
    <n v="2"/>
    <x v="15"/>
  </r>
  <r>
    <x v="45"/>
    <x v="45"/>
    <s v="Neha Reddy"/>
    <x v="17"/>
    <x v="2"/>
    <x v="0"/>
    <s v="New Delhi"/>
    <x v="2"/>
    <x v="0"/>
    <x v="4"/>
    <d v="2025-09-17T00:00:00"/>
    <x v="6"/>
    <n v="3"/>
    <x v="14"/>
  </r>
  <r>
    <x v="46"/>
    <x v="46"/>
    <s v="Rahul Kumar"/>
    <x v="25"/>
    <x v="0"/>
    <x v="1"/>
    <s v="Mangalore"/>
    <x v="1"/>
    <x v="4"/>
    <x v="2"/>
    <d v="2024-10-28T00:00:00"/>
    <x v="0"/>
    <n v="1"/>
    <x v="6"/>
  </r>
  <r>
    <x v="47"/>
    <x v="47"/>
    <s v="Sneha Reddy"/>
    <x v="19"/>
    <x v="0"/>
    <x v="1"/>
    <s v="Surat"/>
    <x v="6"/>
    <x v="2"/>
    <x v="1"/>
    <d v="2025-08-06T00:00:00"/>
    <x v="3"/>
    <n v="2"/>
    <x v="7"/>
  </r>
  <r>
    <x v="48"/>
    <x v="48"/>
    <s v="Suresh Verma"/>
    <x v="30"/>
    <x v="0"/>
    <x v="1"/>
    <s v="Udaipur"/>
    <x v="4"/>
    <x v="4"/>
    <x v="1"/>
    <d v="2025-01-16T00:00:00"/>
    <x v="4"/>
    <n v="1"/>
    <x v="6"/>
  </r>
  <r>
    <x v="49"/>
    <x v="49"/>
    <s v="Anita Verma"/>
    <x v="31"/>
    <x v="0"/>
    <x v="1"/>
    <s v="Vadodara"/>
    <x v="6"/>
    <x v="4"/>
    <x v="3"/>
    <d v="2025-05-30T00:00:00"/>
    <x v="2"/>
    <n v="3"/>
    <x v="13"/>
  </r>
  <r>
    <x v="50"/>
    <x v="50"/>
    <s v="Neha Sharma"/>
    <x v="13"/>
    <x v="1"/>
    <x v="0"/>
    <s v="Chennai"/>
    <x v="5"/>
    <x v="0"/>
    <x v="4"/>
    <d v="2025-04-13T00:00:00"/>
    <x v="9"/>
    <n v="1"/>
    <x v="21"/>
  </r>
  <r>
    <x v="51"/>
    <x v="51"/>
    <s v="Divya Sharma"/>
    <x v="32"/>
    <x v="1"/>
    <x v="0"/>
    <s v="Mysuru"/>
    <x v="1"/>
    <x v="5"/>
    <x v="2"/>
    <d v="2025-08-26T00:00:00"/>
    <x v="3"/>
    <n v="4"/>
    <x v="22"/>
  </r>
  <r>
    <x v="52"/>
    <x v="52"/>
    <s v="Arjun Sharma"/>
    <x v="23"/>
    <x v="2"/>
    <x v="1"/>
    <s v="Bengaluru"/>
    <x v="1"/>
    <x v="2"/>
    <x v="1"/>
    <d v="2025-01-23T00:00:00"/>
    <x v="4"/>
    <n v="2"/>
    <x v="7"/>
  </r>
  <r>
    <x v="53"/>
    <x v="53"/>
    <s v="Rohan Sharma"/>
    <x v="33"/>
    <x v="0"/>
    <x v="0"/>
    <s v="Vadodara"/>
    <x v="6"/>
    <x v="2"/>
    <x v="2"/>
    <d v="2025-02-12T00:00:00"/>
    <x v="1"/>
    <n v="5"/>
    <x v="8"/>
  </r>
  <r>
    <x v="54"/>
    <x v="54"/>
    <s v="Sneha Singh"/>
    <x v="11"/>
    <x v="0"/>
    <x v="1"/>
    <s v="New Delhi"/>
    <x v="2"/>
    <x v="0"/>
    <x v="4"/>
    <d v="2025-07-28T00:00:00"/>
    <x v="11"/>
    <n v="5"/>
    <x v="0"/>
  </r>
  <r>
    <x v="55"/>
    <x v="55"/>
    <s v="Ritu Gupta"/>
    <x v="25"/>
    <x v="0"/>
    <x v="0"/>
    <s v="Jaipur"/>
    <x v="4"/>
    <x v="4"/>
    <x v="4"/>
    <d v="2025-07-12T00:00:00"/>
    <x v="11"/>
    <n v="2"/>
    <x v="5"/>
  </r>
  <r>
    <x v="56"/>
    <x v="56"/>
    <s v="Amit Nair"/>
    <x v="6"/>
    <x v="1"/>
    <x v="1"/>
    <s v="Mysuru"/>
    <x v="1"/>
    <x v="5"/>
    <x v="2"/>
    <d v="2025-05-10T00:00:00"/>
    <x v="2"/>
    <n v="2"/>
    <x v="17"/>
  </r>
  <r>
    <x v="57"/>
    <x v="57"/>
    <s v="Ritu Nair"/>
    <x v="24"/>
    <x v="2"/>
    <x v="1"/>
    <s v="Vadodara"/>
    <x v="6"/>
    <x v="1"/>
    <x v="4"/>
    <d v="2025-09-21T00:00:00"/>
    <x v="6"/>
    <n v="3"/>
    <x v="11"/>
  </r>
  <r>
    <x v="58"/>
    <x v="58"/>
    <s v="Ritu Verma"/>
    <x v="34"/>
    <x v="2"/>
    <x v="0"/>
    <s v="Pune"/>
    <x v="0"/>
    <x v="5"/>
    <x v="4"/>
    <d v="2025-01-10T00:00:00"/>
    <x v="4"/>
    <n v="3"/>
    <x v="20"/>
  </r>
  <r>
    <x v="59"/>
    <x v="59"/>
    <s v="Kavita Reddy"/>
    <x v="11"/>
    <x v="0"/>
    <x v="1"/>
    <s v="Mangalore"/>
    <x v="1"/>
    <x v="5"/>
    <x v="1"/>
    <d v="2025-03-09T00:00:00"/>
    <x v="5"/>
    <n v="4"/>
    <x v="22"/>
  </r>
  <r>
    <x v="60"/>
    <x v="60"/>
    <s v="Suresh Sharma"/>
    <x v="35"/>
    <x v="0"/>
    <x v="0"/>
    <s v="Jodhpur"/>
    <x v="4"/>
    <x v="2"/>
    <x v="1"/>
    <d v="2025-01-28T00:00:00"/>
    <x v="4"/>
    <n v="3"/>
    <x v="2"/>
  </r>
  <r>
    <x v="61"/>
    <x v="61"/>
    <s v="Ritu Sharma"/>
    <x v="12"/>
    <x v="1"/>
    <x v="0"/>
    <s v="Kolkata"/>
    <x v="3"/>
    <x v="1"/>
    <x v="2"/>
    <d v="2025-03-01T00:00:00"/>
    <x v="5"/>
    <n v="5"/>
    <x v="1"/>
  </r>
  <r>
    <x v="62"/>
    <x v="62"/>
    <s v="Rohan Gupta"/>
    <x v="30"/>
    <x v="0"/>
    <x v="0"/>
    <s v="Durgapur"/>
    <x v="3"/>
    <x v="5"/>
    <x v="4"/>
    <d v="2024-12-22T00:00:00"/>
    <x v="10"/>
    <n v="2"/>
    <x v="17"/>
  </r>
  <r>
    <x v="63"/>
    <x v="63"/>
    <s v="Manish Verma"/>
    <x v="29"/>
    <x v="2"/>
    <x v="1"/>
    <s v="Pune"/>
    <x v="0"/>
    <x v="3"/>
    <x v="4"/>
    <d v="2025-06-11T00:00:00"/>
    <x v="8"/>
    <n v="5"/>
    <x v="16"/>
  </r>
  <r>
    <x v="64"/>
    <x v="64"/>
    <s v="Kavita Patel"/>
    <x v="25"/>
    <x v="0"/>
    <x v="1"/>
    <s v="Howrah"/>
    <x v="3"/>
    <x v="3"/>
    <x v="4"/>
    <d v="2025-09-09T00:00:00"/>
    <x v="6"/>
    <n v="2"/>
    <x v="12"/>
  </r>
  <r>
    <x v="65"/>
    <x v="65"/>
    <s v="Arjun Yadav"/>
    <x v="27"/>
    <x v="1"/>
    <x v="0"/>
    <s v="Durgapur"/>
    <x v="3"/>
    <x v="2"/>
    <x v="2"/>
    <d v="2025-10-13T00:00:00"/>
    <x v="0"/>
    <n v="3"/>
    <x v="2"/>
  </r>
  <r>
    <x v="66"/>
    <x v="66"/>
    <s v="Rohan Reddy"/>
    <x v="31"/>
    <x v="0"/>
    <x v="0"/>
    <s v="Surat"/>
    <x v="6"/>
    <x v="3"/>
    <x v="0"/>
    <d v="2025-02-17T00:00:00"/>
    <x v="1"/>
    <n v="1"/>
    <x v="19"/>
  </r>
  <r>
    <x v="67"/>
    <x v="67"/>
    <s v="Vikas Sharma"/>
    <x v="18"/>
    <x v="1"/>
    <x v="0"/>
    <s v="Nagpur"/>
    <x v="0"/>
    <x v="1"/>
    <x v="4"/>
    <d v="2025-03-30T00:00:00"/>
    <x v="5"/>
    <n v="1"/>
    <x v="9"/>
  </r>
  <r>
    <x v="68"/>
    <x v="68"/>
    <s v="Neha Reddy"/>
    <x v="22"/>
    <x v="1"/>
    <x v="0"/>
    <s v="Udaipur"/>
    <x v="4"/>
    <x v="4"/>
    <x v="4"/>
    <d v="2025-04-04T00:00:00"/>
    <x v="9"/>
    <n v="3"/>
    <x v="13"/>
  </r>
  <r>
    <x v="69"/>
    <x v="69"/>
    <s v="Anita Singh"/>
    <x v="28"/>
    <x v="1"/>
    <x v="0"/>
    <s v="New Delhi"/>
    <x v="2"/>
    <x v="3"/>
    <x v="3"/>
    <d v="2025-10-07T00:00:00"/>
    <x v="0"/>
    <n v="2"/>
    <x v="12"/>
  </r>
  <r>
    <x v="70"/>
    <x v="70"/>
    <s v="Vikas Nair"/>
    <x v="18"/>
    <x v="1"/>
    <x v="0"/>
    <s v="Madurai"/>
    <x v="5"/>
    <x v="4"/>
    <x v="1"/>
    <d v="2025-07-14T00:00:00"/>
    <x v="11"/>
    <n v="1"/>
    <x v="6"/>
  </r>
  <r>
    <x v="71"/>
    <x v="71"/>
    <s v="Rohan Patel"/>
    <x v="8"/>
    <x v="2"/>
    <x v="1"/>
    <s v="Mysuru"/>
    <x v="1"/>
    <x v="1"/>
    <x v="1"/>
    <d v="2025-01-10T00:00:00"/>
    <x v="4"/>
    <n v="3"/>
    <x v="11"/>
  </r>
  <r>
    <x v="72"/>
    <x v="72"/>
    <s v="Manish Nair"/>
    <x v="36"/>
    <x v="2"/>
    <x v="0"/>
    <s v="Mysuru"/>
    <x v="1"/>
    <x v="5"/>
    <x v="4"/>
    <d v="2025-05-20T00:00:00"/>
    <x v="2"/>
    <n v="4"/>
    <x v="22"/>
  </r>
  <r>
    <x v="73"/>
    <x v="73"/>
    <s v="Ritu Sharma"/>
    <x v="35"/>
    <x v="0"/>
    <x v="0"/>
    <s v="Chennai"/>
    <x v="5"/>
    <x v="0"/>
    <x v="2"/>
    <d v="2025-01-22T00:00:00"/>
    <x v="4"/>
    <n v="2"/>
    <x v="15"/>
  </r>
  <r>
    <x v="74"/>
    <x v="74"/>
    <s v="Kavita Patel"/>
    <x v="3"/>
    <x v="2"/>
    <x v="0"/>
    <s v="Vadodara"/>
    <x v="6"/>
    <x v="3"/>
    <x v="1"/>
    <d v="2024-12-26T00:00:00"/>
    <x v="10"/>
    <n v="4"/>
    <x v="10"/>
  </r>
  <r>
    <x v="75"/>
    <x v="75"/>
    <s v="Neha Kumar"/>
    <x v="11"/>
    <x v="0"/>
    <x v="0"/>
    <s v="Mumbai"/>
    <x v="0"/>
    <x v="0"/>
    <x v="0"/>
    <d v="2025-01-06T00:00:00"/>
    <x v="4"/>
    <n v="3"/>
    <x v="14"/>
  </r>
  <r>
    <x v="76"/>
    <x v="76"/>
    <s v="Ritu Singh"/>
    <x v="1"/>
    <x v="1"/>
    <x v="1"/>
    <s v="Madurai"/>
    <x v="5"/>
    <x v="5"/>
    <x v="3"/>
    <d v="2024-12-16T00:00:00"/>
    <x v="10"/>
    <n v="1"/>
    <x v="3"/>
  </r>
  <r>
    <x v="77"/>
    <x v="77"/>
    <s v="Rahul Verma"/>
    <x v="0"/>
    <x v="0"/>
    <x v="0"/>
    <s v="New Delhi"/>
    <x v="2"/>
    <x v="4"/>
    <x v="4"/>
    <d v="2025-05-18T00:00:00"/>
    <x v="2"/>
    <n v="5"/>
    <x v="18"/>
  </r>
  <r>
    <x v="78"/>
    <x v="78"/>
    <s v="Vikas Verma"/>
    <x v="37"/>
    <x v="2"/>
    <x v="0"/>
    <s v="New Delhi"/>
    <x v="2"/>
    <x v="4"/>
    <x v="0"/>
    <d v="2025-05-02T00:00:00"/>
    <x v="2"/>
    <n v="5"/>
    <x v="18"/>
  </r>
  <r>
    <x v="79"/>
    <x v="79"/>
    <s v="Divya Patel"/>
    <x v="28"/>
    <x v="1"/>
    <x v="0"/>
    <s v="Coimbatore"/>
    <x v="5"/>
    <x v="0"/>
    <x v="4"/>
    <d v="2025-02-23T00:00:00"/>
    <x v="1"/>
    <n v="4"/>
    <x v="16"/>
  </r>
  <r>
    <x v="80"/>
    <x v="80"/>
    <s v="Sneha Sharma"/>
    <x v="22"/>
    <x v="1"/>
    <x v="0"/>
    <s v="Pune"/>
    <x v="0"/>
    <x v="5"/>
    <x v="2"/>
    <d v="2025-05-28T00:00:00"/>
    <x v="2"/>
    <n v="3"/>
    <x v="20"/>
  </r>
  <r>
    <x v="81"/>
    <x v="81"/>
    <s v="Raj Yadav"/>
    <x v="38"/>
    <x v="2"/>
    <x v="0"/>
    <s v="Surat"/>
    <x v="6"/>
    <x v="1"/>
    <x v="2"/>
    <d v="2025-03-05T00:00:00"/>
    <x v="5"/>
    <n v="5"/>
    <x v="1"/>
  </r>
  <r>
    <x v="82"/>
    <x v="82"/>
    <s v="Anita Sharma"/>
    <x v="26"/>
    <x v="2"/>
    <x v="1"/>
    <s v="Ahmedabad"/>
    <x v="6"/>
    <x v="5"/>
    <x v="3"/>
    <d v="2025-02-20T00:00:00"/>
    <x v="1"/>
    <n v="5"/>
    <x v="5"/>
  </r>
  <r>
    <x v="83"/>
    <x v="83"/>
    <s v="Priya Singh"/>
    <x v="31"/>
    <x v="0"/>
    <x v="1"/>
    <s v="New Delhi"/>
    <x v="2"/>
    <x v="0"/>
    <x v="3"/>
    <d v="2025-03-30T00:00:00"/>
    <x v="5"/>
    <n v="4"/>
    <x v="16"/>
  </r>
  <r>
    <x v="84"/>
    <x v="84"/>
    <s v="Neha Verma"/>
    <x v="10"/>
    <x v="1"/>
    <x v="0"/>
    <s v="Vadodara"/>
    <x v="6"/>
    <x v="4"/>
    <x v="4"/>
    <d v="2025-03-20T00:00:00"/>
    <x v="5"/>
    <n v="1"/>
    <x v="6"/>
  </r>
  <r>
    <x v="85"/>
    <x v="85"/>
    <s v="Suresh Patel"/>
    <x v="31"/>
    <x v="0"/>
    <x v="1"/>
    <s v="Mangalore"/>
    <x v="1"/>
    <x v="4"/>
    <x v="2"/>
    <d v="2025-08-16T00:00:00"/>
    <x v="3"/>
    <n v="5"/>
    <x v="18"/>
  </r>
  <r>
    <x v="86"/>
    <x v="86"/>
    <s v="Manish Reddy"/>
    <x v="26"/>
    <x v="2"/>
    <x v="1"/>
    <s v="Vadodara"/>
    <x v="6"/>
    <x v="4"/>
    <x v="3"/>
    <d v="2024-12-20T00:00:00"/>
    <x v="10"/>
    <n v="3"/>
    <x v="13"/>
  </r>
  <r>
    <x v="87"/>
    <x v="87"/>
    <s v="Amit Patel"/>
    <x v="28"/>
    <x v="1"/>
    <x v="1"/>
    <s v="Kolkata"/>
    <x v="3"/>
    <x v="0"/>
    <x v="4"/>
    <d v="2025-09-12T00:00:00"/>
    <x v="6"/>
    <n v="4"/>
    <x v="16"/>
  </r>
  <r>
    <x v="88"/>
    <x v="88"/>
    <s v="Ritu Gupta"/>
    <x v="37"/>
    <x v="2"/>
    <x v="1"/>
    <s v="Kolkata"/>
    <x v="3"/>
    <x v="2"/>
    <x v="1"/>
    <d v="2024-12-17T00:00:00"/>
    <x v="10"/>
    <n v="5"/>
    <x v="8"/>
  </r>
  <r>
    <x v="89"/>
    <x v="89"/>
    <s v="Vikas Gupta"/>
    <x v="6"/>
    <x v="1"/>
    <x v="1"/>
    <s v="New Delhi"/>
    <x v="2"/>
    <x v="2"/>
    <x v="4"/>
    <d v="2024-10-30T00:00:00"/>
    <x v="0"/>
    <n v="2"/>
    <x v="7"/>
  </r>
  <r>
    <x v="90"/>
    <x v="90"/>
    <s v="Divya Patel"/>
    <x v="33"/>
    <x v="0"/>
    <x v="1"/>
    <s v="Kolkata"/>
    <x v="3"/>
    <x v="3"/>
    <x v="1"/>
    <d v="2025-02-04T00:00:00"/>
    <x v="1"/>
    <n v="3"/>
    <x v="3"/>
  </r>
  <r>
    <x v="91"/>
    <x v="91"/>
    <s v="Raj Singh"/>
    <x v="37"/>
    <x v="2"/>
    <x v="1"/>
    <s v="Madurai"/>
    <x v="5"/>
    <x v="5"/>
    <x v="1"/>
    <d v="2025-03-17T00:00:00"/>
    <x v="5"/>
    <n v="5"/>
    <x v="5"/>
  </r>
  <r>
    <x v="92"/>
    <x v="92"/>
    <s v="Arjun Gupta"/>
    <x v="17"/>
    <x v="2"/>
    <x v="1"/>
    <s v="Kolkata"/>
    <x v="3"/>
    <x v="2"/>
    <x v="0"/>
    <d v="2025-09-27T00:00:00"/>
    <x v="6"/>
    <n v="1"/>
    <x v="5"/>
  </r>
  <r>
    <x v="93"/>
    <x v="93"/>
    <s v="Raj Reddy"/>
    <x v="10"/>
    <x v="1"/>
    <x v="0"/>
    <s v="Mangalore"/>
    <x v="1"/>
    <x v="0"/>
    <x v="1"/>
    <d v="2025-05-31T00:00:00"/>
    <x v="2"/>
    <n v="2"/>
    <x v="15"/>
  </r>
  <r>
    <x v="94"/>
    <x v="94"/>
    <s v="Ritu Gupta"/>
    <x v="38"/>
    <x v="2"/>
    <x v="1"/>
    <s v="New Delhi"/>
    <x v="2"/>
    <x v="3"/>
    <x v="3"/>
    <d v="2025-10-14T00:00:00"/>
    <x v="0"/>
    <n v="3"/>
    <x v="3"/>
  </r>
  <r>
    <x v="95"/>
    <x v="95"/>
    <s v="Raj Yadav"/>
    <x v="1"/>
    <x v="1"/>
    <x v="0"/>
    <s v="Madurai"/>
    <x v="5"/>
    <x v="5"/>
    <x v="4"/>
    <d v="2025-02-08T00:00:00"/>
    <x v="1"/>
    <n v="5"/>
    <x v="5"/>
  </r>
  <r>
    <x v="96"/>
    <x v="96"/>
    <s v="Ritu Singh"/>
    <x v="35"/>
    <x v="0"/>
    <x v="0"/>
    <s v="Mysuru"/>
    <x v="1"/>
    <x v="3"/>
    <x v="1"/>
    <d v="2024-12-25T00:00:00"/>
    <x v="10"/>
    <n v="4"/>
    <x v="10"/>
  </r>
  <r>
    <x v="97"/>
    <x v="97"/>
    <s v="Suresh Nair"/>
    <x v="8"/>
    <x v="2"/>
    <x v="1"/>
    <s v="Mangalore"/>
    <x v="1"/>
    <x v="4"/>
    <x v="2"/>
    <d v="2025-09-01T00:00:00"/>
    <x v="6"/>
    <n v="4"/>
    <x v="7"/>
  </r>
  <r>
    <x v="98"/>
    <x v="98"/>
    <s v="Rohan Patel"/>
    <x v="35"/>
    <x v="0"/>
    <x v="1"/>
    <s v="Durgapur"/>
    <x v="3"/>
    <x v="3"/>
    <x v="1"/>
    <d v="2024-10-27T00:00:00"/>
    <x v="0"/>
    <n v="1"/>
    <x v="19"/>
  </r>
  <r>
    <x v="99"/>
    <x v="99"/>
    <s v="Rohan Gupta"/>
    <x v="16"/>
    <x v="0"/>
    <x v="1"/>
    <s v="Mumbai"/>
    <x v="0"/>
    <x v="0"/>
    <x v="1"/>
    <d v="2025-07-22T00:00:00"/>
    <x v="11"/>
    <n v="4"/>
    <x v="16"/>
  </r>
  <r>
    <x v="100"/>
    <x v="100"/>
    <s v="Sneha Reddy"/>
    <x v="9"/>
    <x v="1"/>
    <x v="0"/>
    <s v="Pune"/>
    <x v="0"/>
    <x v="2"/>
    <x v="4"/>
    <d v="2025-06-27T00:00:00"/>
    <x v="8"/>
    <n v="2"/>
    <x v="7"/>
  </r>
  <r>
    <x v="101"/>
    <x v="101"/>
    <s v="Rahul Nair"/>
    <x v="32"/>
    <x v="1"/>
    <x v="0"/>
    <s v="Mumbai"/>
    <x v="0"/>
    <x v="5"/>
    <x v="1"/>
    <d v="2024-12-08T00:00:00"/>
    <x v="10"/>
    <n v="4"/>
    <x v="22"/>
  </r>
  <r>
    <x v="102"/>
    <x v="102"/>
    <s v="Vikas Patel"/>
    <x v="1"/>
    <x v="1"/>
    <x v="1"/>
    <s v="Mysuru"/>
    <x v="1"/>
    <x v="4"/>
    <x v="2"/>
    <d v="2025-04-14T00:00:00"/>
    <x v="9"/>
    <n v="4"/>
    <x v="7"/>
  </r>
  <r>
    <x v="103"/>
    <x v="103"/>
    <s v="Manish Sharma"/>
    <x v="29"/>
    <x v="2"/>
    <x v="0"/>
    <s v="Jodhpur"/>
    <x v="4"/>
    <x v="2"/>
    <x v="0"/>
    <d v="2025-03-08T00:00:00"/>
    <x v="5"/>
    <n v="4"/>
    <x v="4"/>
  </r>
  <r>
    <x v="104"/>
    <x v="104"/>
    <s v="Rahul Singh"/>
    <x v="24"/>
    <x v="2"/>
    <x v="1"/>
    <s v="Coimbatore"/>
    <x v="5"/>
    <x v="0"/>
    <x v="0"/>
    <d v="2025-05-18T00:00:00"/>
    <x v="2"/>
    <n v="3"/>
    <x v="14"/>
  </r>
  <r>
    <x v="105"/>
    <x v="105"/>
    <s v="Sneha Verma"/>
    <x v="12"/>
    <x v="1"/>
    <x v="1"/>
    <s v="Madurai"/>
    <x v="5"/>
    <x v="5"/>
    <x v="0"/>
    <d v="2025-07-28T00:00:00"/>
    <x v="11"/>
    <n v="2"/>
    <x v="17"/>
  </r>
  <r>
    <x v="106"/>
    <x v="106"/>
    <s v="Neha Sharma"/>
    <x v="39"/>
    <x v="1"/>
    <x v="1"/>
    <s v="Ahmedabad"/>
    <x v="6"/>
    <x v="5"/>
    <x v="2"/>
    <d v="2025-09-08T00:00:00"/>
    <x v="6"/>
    <n v="2"/>
    <x v="17"/>
  </r>
  <r>
    <x v="107"/>
    <x v="107"/>
    <s v="Raj Nair"/>
    <x v="34"/>
    <x v="2"/>
    <x v="1"/>
    <s v="Jodhpur"/>
    <x v="4"/>
    <x v="2"/>
    <x v="2"/>
    <d v="2025-04-12T00:00:00"/>
    <x v="9"/>
    <n v="4"/>
    <x v="4"/>
  </r>
  <r>
    <x v="108"/>
    <x v="108"/>
    <s v="Kavita Gupta"/>
    <x v="5"/>
    <x v="0"/>
    <x v="1"/>
    <s v="Pune"/>
    <x v="0"/>
    <x v="1"/>
    <x v="4"/>
    <d v="2025-03-05T00:00:00"/>
    <x v="5"/>
    <n v="2"/>
    <x v="23"/>
  </r>
  <r>
    <x v="109"/>
    <x v="109"/>
    <s v="Arjun Reddy"/>
    <x v="40"/>
    <x v="2"/>
    <x v="1"/>
    <s v="Pune"/>
    <x v="0"/>
    <x v="3"/>
    <x v="2"/>
    <d v="2024-12-13T00:00:00"/>
    <x v="10"/>
    <n v="4"/>
    <x v="10"/>
  </r>
  <r>
    <x v="110"/>
    <x v="110"/>
    <s v="Sneha Iyer"/>
    <x v="41"/>
    <x v="0"/>
    <x v="0"/>
    <s v="Jaipur"/>
    <x v="4"/>
    <x v="2"/>
    <x v="4"/>
    <d v="2024-11-22T00:00:00"/>
    <x v="7"/>
    <n v="5"/>
    <x v="8"/>
  </r>
  <r>
    <x v="111"/>
    <x v="111"/>
    <s v="Rohan Yadav"/>
    <x v="31"/>
    <x v="0"/>
    <x v="0"/>
    <s v="Ahmedabad"/>
    <x v="6"/>
    <x v="5"/>
    <x v="3"/>
    <d v="2025-09-16T00:00:00"/>
    <x v="6"/>
    <n v="1"/>
    <x v="3"/>
  </r>
  <r>
    <x v="112"/>
    <x v="112"/>
    <s v="Rohan Verma"/>
    <x v="32"/>
    <x v="1"/>
    <x v="0"/>
    <s v="Howrah"/>
    <x v="3"/>
    <x v="4"/>
    <x v="1"/>
    <d v="2025-10-07T00:00:00"/>
    <x v="0"/>
    <n v="5"/>
    <x v="18"/>
  </r>
  <r>
    <x v="113"/>
    <x v="113"/>
    <s v="Amit Verma"/>
    <x v="41"/>
    <x v="0"/>
    <x v="0"/>
    <s v="Udaipur"/>
    <x v="4"/>
    <x v="4"/>
    <x v="0"/>
    <d v="2025-04-21T00:00:00"/>
    <x v="9"/>
    <n v="3"/>
    <x v="13"/>
  </r>
  <r>
    <x v="114"/>
    <x v="114"/>
    <s v="Sneha Kumar"/>
    <x v="9"/>
    <x v="1"/>
    <x v="1"/>
    <s v="Surat"/>
    <x v="6"/>
    <x v="4"/>
    <x v="3"/>
    <d v="2024-11-14T00:00:00"/>
    <x v="7"/>
    <n v="5"/>
    <x v="18"/>
  </r>
  <r>
    <x v="115"/>
    <x v="115"/>
    <s v="Neha Iyer"/>
    <x v="24"/>
    <x v="2"/>
    <x v="0"/>
    <s v="New Delhi"/>
    <x v="2"/>
    <x v="5"/>
    <x v="4"/>
    <d v="2025-07-16T00:00:00"/>
    <x v="11"/>
    <n v="1"/>
    <x v="3"/>
  </r>
  <r>
    <x v="116"/>
    <x v="116"/>
    <s v="Rohan Nair"/>
    <x v="0"/>
    <x v="0"/>
    <x v="1"/>
    <s v="Durgapur"/>
    <x v="3"/>
    <x v="3"/>
    <x v="0"/>
    <d v="2024-11-18T00:00:00"/>
    <x v="7"/>
    <n v="2"/>
    <x v="12"/>
  </r>
  <r>
    <x v="117"/>
    <x v="117"/>
    <s v="Rahul Reddy"/>
    <x v="27"/>
    <x v="1"/>
    <x v="0"/>
    <s v="New Delhi"/>
    <x v="2"/>
    <x v="5"/>
    <x v="3"/>
    <d v="2025-08-25T00:00:00"/>
    <x v="3"/>
    <n v="2"/>
    <x v="17"/>
  </r>
  <r>
    <x v="118"/>
    <x v="118"/>
    <s v="Manish Verma"/>
    <x v="10"/>
    <x v="1"/>
    <x v="1"/>
    <s v="Vadodara"/>
    <x v="6"/>
    <x v="2"/>
    <x v="0"/>
    <d v="2024-12-06T00:00:00"/>
    <x v="10"/>
    <n v="2"/>
    <x v="7"/>
  </r>
  <r>
    <x v="119"/>
    <x v="119"/>
    <s v="Divya Singh"/>
    <x v="33"/>
    <x v="0"/>
    <x v="0"/>
    <s v="New Delhi"/>
    <x v="2"/>
    <x v="1"/>
    <x v="3"/>
    <d v="2025-09-10T00:00:00"/>
    <x v="6"/>
    <n v="1"/>
    <x v="9"/>
  </r>
  <r>
    <x v="120"/>
    <x v="120"/>
    <s v="Neha Verma"/>
    <x v="31"/>
    <x v="0"/>
    <x v="0"/>
    <s v="Coimbatore"/>
    <x v="5"/>
    <x v="1"/>
    <x v="4"/>
    <d v="2025-10-04T00:00:00"/>
    <x v="0"/>
    <n v="5"/>
    <x v="1"/>
  </r>
  <r>
    <x v="121"/>
    <x v="121"/>
    <s v="Raj Iyer"/>
    <x v="25"/>
    <x v="0"/>
    <x v="1"/>
    <s v="New Delhi"/>
    <x v="2"/>
    <x v="1"/>
    <x v="3"/>
    <d v="2024-11-11T00:00:00"/>
    <x v="7"/>
    <n v="3"/>
    <x v="11"/>
  </r>
  <r>
    <x v="122"/>
    <x v="122"/>
    <s v="Priya Iyer"/>
    <x v="22"/>
    <x v="1"/>
    <x v="0"/>
    <s v="Coimbatore"/>
    <x v="5"/>
    <x v="5"/>
    <x v="0"/>
    <d v="2025-05-01T00:00:00"/>
    <x v="2"/>
    <n v="5"/>
    <x v="5"/>
  </r>
  <r>
    <x v="123"/>
    <x v="123"/>
    <s v="Sneha Reddy"/>
    <x v="35"/>
    <x v="0"/>
    <x v="1"/>
    <s v="Surat"/>
    <x v="6"/>
    <x v="4"/>
    <x v="4"/>
    <d v="2025-06-29T00:00:00"/>
    <x v="8"/>
    <n v="3"/>
    <x v="13"/>
  </r>
  <r>
    <x v="124"/>
    <x v="124"/>
    <s v="Ritu Sharma"/>
    <x v="28"/>
    <x v="1"/>
    <x v="1"/>
    <s v="Nagpur"/>
    <x v="0"/>
    <x v="4"/>
    <x v="2"/>
    <d v="2025-02-28T00:00:00"/>
    <x v="1"/>
    <n v="2"/>
    <x v="5"/>
  </r>
  <r>
    <x v="125"/>
    <x v="125"/>
    <s v="Anita Reddy"/>
    <x v="3"/>
    <x v="2"/>
    <x v="1"/>
    <s v="Mumbai"/>
    <x v="0"/>
    <x v="4"/>
    <x v="0"/>
    <d v="2024-11-18T00:00:00"/>
    <x v="7"/>
    <n v="5"/>
    <x v="18"/>
  </r>
  <r>
    <x v="126"/>
    <x v="126"/>
    <s v="Manish Patel"/>
    <x v="9"/>
    <x v="1"/>
    <x v="1"/>
    <s v="Bengaluru"/>
    <x v="1"/>
    <x v="1"/>
    <x v="4"/>
    <d v="2025-05-19T00:00:00"/>
    <x v="2"/>
    <n v="1"/>
    <x v="9"/>
  </r>
  <r>
    <x v="127"/>
    <x v="127"/>
    <s v="Neha Gupta"/>
    <x v="12"/>
    <x v="1"/>
    <x v="0"/>
    <s v="Coimbatore"/>
    <x v="5"/>
    <x v="4"/>
    <x v="2"/>
    <d v="2025-07-04T00:00:00"/>
    <x v="11"/>
    <n v="5"/>
    <x v="18"/>
  </r>
  <r>
    <x v="128"/>
    <x v="128"/>
    <s v="Vikas Yadav"/>
    <x v="5"/>
    <x v="0"/>
    <x v="0"/>
    <s v="Chennai"/>
    <x v="5"/>
    <x v="0"/>
    <x v="0"/>
    <d v="2025-07-25T00:00:00"/>
    <x v="11"/>
    <n v="5"/>
    <x v="0"/>
  </r>
  <r>
    <x v="129"/>
    <x v="129"/>
    <s v="Ritu Singh"/>
    <x v="26"/>
    <x v="2"/>
    <x v="1"/>
    <s v="Surat"/>
    <x v="6"/>
    <x v="2"/>
    <x v="4"/>
    <d v="2025-08-19T00:00:00"/>
    <x v="3"/>
    <n v="2"/>
    <x v="7"/>
  </r>
  <r>
    <x v="130"/>
    <x v="130"/>
    <s v="Arjun Yadav"/>
    <x v="39"/>
    <x v="1"/>
    <x v="1"/>
    <s v="Mysuru"/>
    <x v="1"/>
    <x v="5"/>
    <x v="2"/>
    <d v="2025-05-09T00:00:00"/>
    <x v="2"/>
    <n v="3"/>
    <x v="20"/>
  </r>
  <r>
    <x v="131"/>
    <x v="131"/>
    <s v="Kavita Sharma"/>
    <x v="33"/>
    <x v="0"/>
    <x v="1"/>
    <s v="Surat"/>
    <x v="6"/>
    <x v="1"/>
    <x v="3"/>
    <d v="2025-09-06T00:00:00"/>
    <x v="6"/>
    <n v="2"/>
    <x v="23"/>
  </r>
  <r>
    <x v="132"/>
    <x v="132"/>
    <s v="Rahul Nair"/>
    <x v="17"/>
    <x v="2"/>
    <x v="0"/>
    <s v="Mumbai"/>
    <x v="0"/>
    <x v="0"/>
    <x v="4"/>
    <d v="2025-05-20T00:00:00"/>
    <x v="2"/>
    <n v="1"/>
    <x v="21"/>
  </r>
  <r>
    <x v="133"/>
    <x v="133"/>
    <s v="Suresh Nair"/>
    <x v="8"/>
    <x v="2"/>
    <x v="0"/>
    <s v="Pune"/>
    <x v="0"/>
    <x v="4"/>
    <x v="0"/>
    <d v="2025-03-17T00:00:00"/>
    <x v="5"/>
    <n v="4"/>
    <x v="7"/>
  </r>
  <r>
    <x v="134"/>
    <x v="134"/>
    <s v="Vikas Singh"/>
    <x v="23"/>
    <x v="2"/>
    <x v="1"/>
    <s v="Mysuru"/>
    <x v="1"/>
    <x v="5"/>
    <x v="2"/>
    <d v="2025-10-20T00:00:00"/>
    <x v="0"/>
    <n v="2"/>
    <x v="17"/>
  </r>
  <r>
    <x v="135"/>
    <x v="135"/>
    <s v="Rohan Sharma"/>
    <x v="11"/>
    <x v="0"/>
    <x v="0"/>
    <s v="Ahmedabad"/>
    <x v="6"/>
    <x v="5"/>
    <x v="3"/>
    <d v="2024-12-16T00:00:00"/>
    <x v="10"/>
    <n v="3"/>
    <x v="20"/>
  </r>
  <r>
    <x v="136"/>
    <x v="136"/>
    <s v="Suresh Nair"/>
    <x v="33"/>
    <x v="0"/>
    <x v="1"/>
    <s v="Jodhpur"/>
    <x v="4"/>
    <x v="2"/>
    <x v="3"/>
    <d v="2025-02-03T00:00:00"/>
    <x v="1"/>
    <n v="3"/>
    <x v="2"/>
  </r>
  <r>
    <x v="137"/>
    <x v="137"/>
    <s v="Ritu Reddy"/>
    <x v="12"/>
    <x v="1"/>
    <x v="0"/>
    <s v="Mangalore"/>
    <x v="1"/>
    <x v="2"/>
    <x v="1"/>
    <d v="2025-04-10T00:00:00"/>
    <x v="9"/>
    <n v="5"/>
    <x v="8"/>
  </r>
  <r>
    <x v="138"/>
    <x v="138"/>
    <s v="Neha Yadav"/>
    <x v="20"/>
    <x v="2"/>
    <x v="0"/>
    <s v="Ahmedabad"/>
    <x v="6"/>
    <x v="4"/>
    <x v="3"/>
    <d v="2024-11-04T00:00:00"/>
    <x v="7"/>
    <n v="1"/>
    <x v="6"/>
  </r>
  <r>
    <x v="139"/>
    <x v="139"/>
    <s v="Anita Gupta"/>
    <x v="41"/>
    <x v="0"/>
    <x v="0"/>
    <s v="New Delhi"/>
    <x v="2"/>
    <x v="1"/>
    <x v="0"/>
    <d v="2025-01-23T00:00:00"/>
    <x v="4"/>
    <n v="3"/>
    <x v="11"/>
  </r>
  <r>
    <x v="140"/>
    <x v="140"/>
    <s v="Priya Patel"/>
    <x v="21"/>
    <x v="1"/>
    <x v="1"/>
    <s v="Vadodara"/>
    <x v="6"/>
    <x v="5"/>
    <x v="1"/>
    <d v="2025-09-15T00:00:00"/>
    <x v="6"/>
    <n v="1"/>
    <x v="3"/>
  </r>
  <r>
    <x v="141"/>
    <x v="141"/>
    <s v="Priya Patel"/>
    <x v="7"/>
    <x v="1"/>
    <x v="1"/>
    <s v="Nagpur"/>
    <x v="0"/>
    <x v="4"/>
    <x v="3"/>
    <d v="2025-08-01T00:00:00"/>
    <x v="3"/>
    <n v="5"/>
    <x v="18"/>
  </r>
  <r>
    <x v="142"/>
    <x v="142"/>
    <s v="Arjun Kumar"/>
    <x v="25"/>
    <x v="0"/>
    <x v="1"/>
    <s v="Mysuru"/>
    <x v="1"/>
    <x v="2"/>
    <x v="3"/>
    <d v="2025-02-14T00:00:00"/>
    <x v="1"/>
    <n v="2"/>
    <x v="7"/>
  </r>
  <r>
    <x v="143"/>
    <x v="143"/>
    <s v="Manish Nair"/>
    <x v="38"/>
    <x v="2"/>
    <x v="1"/>
    <s v="New Delhi"/>
    <x v="2"/>
    <x v="3"/>
    <x v="0"/>
    <d v="2024-11-03T00:00:00"/>
    <x v="7"/>
    <n v="4"/>
    <x v="10"/>
  </r>
  <r>
    <x v="144"/>
    <x v="144"/>
    <s v="Priya Patel"/>
    <x v="8"/>
    <x v="2"/>
    <x v="0"/>
    <s v="Jodhpur"/>
    <x v="4"/>
    <x v="3"/>
    <x v="3"/>
    <d v="2025-03-08T00:00:00"/>
    <x v="5"/>
    <n v="2"/>
    <x v="12"/>
  </r>
  <r>
    <x v="145"/>
    <x v="145"/>
    <s v="Neha Nair"/>
    <x v="17"/>
    <x v="2"/>
    <x v="1"/>
    <s v="New Delhi"/>
    <x v="2"/>
    <x v="2"/>
    <x v="0"/>
    <d v="2025-08-21T00:00:00"/>
    <x v="3"/>
    <n v="5"/>
    <x v="8"/>
  </r>
  <r>
    <x v="146"/>
    <x v="146"/>
    <s v="Kavita Reddy"/>
    <x v="41"/>
    <x v="0"/>
    <x v="0"/>
    <s v="Bengaluru"/>
    <x v="1"/>
    <x v="5"/>
    <x v="2"/>
    <d v="2025-05-30T00:00:00"/>
    <x v="2"/>
    <n v="3"/>
    <x v="20"/>
  </r>
  <r>
    <x v="147"/>
    <x v="147"/>
    <s v="Priya Verma"/>
    <x v="42"/>
    <x v="0"/>
    <x v="0"/>
    <s v="Bengaluru"/>
    <x v="1"/>
    <x v="5"/>
    <x v="1"/>
    <d v="2025-05-19T00:00:00"/>
    <x v="2"/>
    <n v="1"/>
    <x v="3"/>
  </r>
  <r>
    <x v="148"/>
    <x v="148"/>
    <s v="Rohan Sharma"/>
    <x v="5"/>
    <x v="0"/>
    <x v="1"/>
    <s v="Kolkata"/>
    <x v="3"/>
    <x v="3"/>
    <x v="4"/>
    <d v="2024-11-26T00:00:00"/>
    <x v="7"/>
    <n v="4"/>
    <x v="10"/>
  </r>
  <r>
    <x v="149"/>
    <x v="149"/>
    <s v="Suresh Yadav"/>
    <x v="8"/>
    <x v="2"/>
    <x v="0"/>
    <s v="New Delhi"/>
    <x v="2"/>
    <x v="0"/>
    <x v="4"/>
    <d v="2025-08-10T00:00:00"/>
    <x v="3"/>
    <n v="4"/>
    <x v="16"/>
  </r>
  <r>
    <x v="150"/>
    <x v="150"/>
    <s v="Sneha Gupta"/>
    <x v="4"/>
    <x v="1"/>
    <x v="1"/>
    <s v="New Delhi"/>
    <x v="2"/>
    <x v="1"/>
    <x v="1"/>
    <d v="2025-07-03T00:00:00"/>
    <x v="11"/>
    <n v="3"/>
    <x v="11"/>
  </r>
  <r>
    <x v="151"/>
    <x v="151"/>
    <s v="Kavita Reddy"/>
    <x v="13"/>
    <x v="1"/>
    <x v="1"/>
    <s v="Chennai"/>
    <x v="5"/>
    <x v="3"/>
    <x v="4"/>
    <d v="2025-03-29T00:00:00"/>
    <x v="5"/>
    <n v="4"/>
    <x v="10"/>
  </r>
  <r>
    <x v="152"/>
    <x v="152"/>
    <s v="Ritu Kumar"/>
    <x v="43"/>
    <x v="2"/>
    <x v="1"/>
    <s v="Mumbai"/>
    <x v="0"/>
    <x v="1"/>
    <x v="1"/>
    <d v="2025-04-25T00:00:00"/>
    <x v="9"/>
    <n v="2"/>
    <x v="23"/>
  </r>
  <r>
    <x v="153"/>
    <x v="153"/>
    <s v="Vikas Iyer"/>
    <x v="2"/>
    <x v="1"/>
    <x v="0"/>
    <s v="Bengaluru"/>
    <x v="1"/>
    <x v="1"/>
    <x v="3"/>
    <d v="2025-03-07T00:00:00"/>
    <x v="5"/>
    <n v="1"/>
    <x v="9"/>
  </r>
  <r>
    <x v="154"/>
    <x v="154"/>
    <s v="Rohan Kumar"/>
    <x v="25"/>
    <x v="0"/>
    <x v="1"/>
    <s v="Jaipur"/>
    <x v="4"/>
    <x v="4"/>
    <x v="2"/>
    <d v="2025-09-18T00:00:00"/>
    <x v="6"/>
    <n v="5"/>
    <x v="18"/>
  </r>
  <r>
    <x v="155"/>
    <x v="155"/>
    <s v="Divya Gupta"/>
    <x v="12"/>
    <x v="1"/>
    <x v="1"/>
    <s v="Madurai"/>
    <x v="5"/>
    <x v="5"/>
    <x v="3"/>
    <d v="2025-09-12T00:00:00"/>
    <x v="6"/>
    <n v="3"/>
    <x v="20"/>
  </r>
  <r>
    <x v="156"/>
    <x v="156"/>
    <s v="Manish Singh"/>
    <x v="38"/>
    <x v="2"/>
    <x v="1"/>
    <s v="New Delhi"/>
    <x v="2"/>
    <x v="2"/>
    <x v="4"/>
    <d v="2025-02-28T00:00:00"/>
    <x v="1"/>
    <n v="1"/>
    <x v="5"/>
  </r>
  <r>
    <x v="157"/>
    <x v="157"/>
    <s v="Ritu Iyer"/>
    <x v="26"/>
    <x v="2"/>
    <x v="0"/>
    <s v="Mysuru"/>
    <x v="1"/>
    <x v="0"/>
    <x v="4"/>
    <d v="2025-03-19T00:00:00"/>
    <x v="5"/>
    <n v="3"/>
    <x v="14"/>
  </r>
  <r>
    <x v="158"/>
    <x v="158"/>
    <s v="Amit Gupta"/>
    <x v="1"/>
    <x v="1"/>
    <x v="1"/>
    <s v="Mysuru"/>
    <x v="1"/>
    <x v="3"/>
    <x v="3"/>
    <d v="2024-11-05T00:00:00"/>
    <x v="7"/>
    <n v="5"/>
    <x v="16"/>
  </r>
  <r>
    <x v="159"/>
    <x v="159"/>
    <s v="Ritu Yadav"/>
    <x v="2"/>
    <x v="1"/>
    <x v="0"/>
    <s v="Jaipur"/>
    <x v="4"/>
    <x v="5"/>
    <x v="1"/>
    <d v="2024-12-30T00:00:00"/>
    <x v="10"/>
    <n v="3"/>
    <x v="20"/>
  </r>
  <r>
    <x v="160"/>
    <x v="160"/>
    <s v="Manish Iyer"/>
    <x v="8"/>
    <x v="2"/>
    <x v="1"/>
    <s v="New Delhi"/>
    <x v="2"/>
    <x v="3"/>
    <x v="4"/>
    <d v="2025-03-22T00:00:00"/>
    <x v="5"/>
    <n v="5"/>
    <x v="16"/>
  </r>
  <r>
    <x v="161"/>
    <x v="161"/>
    <s v="Kavita Patel"/>
    <x v="8"/>
    <x v="2"/>
    <x v="0"/>
    <s v="Nagpur"/>
    <x v="0"/>
    <x v="5"/>
    <x v="3"/>
    <d v="2025-06-15T00:00:00"/>
    <x v="8"/>
    <n v="3"/>
    <x v="20"/>
  </r>
  <r>
    <x v="162"/>
    <x v="162"/>
    <s v="Sneha Reddy"/>
    <x v="40"/>
    <x v="2"/>
    <x v="1"/>
    <s v="New Delhi"/>
    <x v="2"/>
    <x v="4"/>
    <x v="1"/>
    <d v="2025-09-01T00:00:00"/>
    <x v="6"/>
    <n v="2"/>
    <x v="5"/>
  </r>
  <r>
    <x v="163"/>
    <x v="163"/>
    <s v="Raj Yadav"/>
    <x v="42"/>
    <x v="0"/>
    <x v="1"/>
    <s v="Nagpur"/>
    <x v="0"/>
    <x v="5"/>
    <x v="3"/>
    <d v="2025-02-27T00:00:00"/>
    <x v="1"/>
    <n v="1"/>
    <x v="3"/>
  </r>
  <r>
    <x v="164"/>
    <x v="164"/>
    <s v="Kavita Yadav"/>
    <x v="41"/>
    <x v="0"/>
    <x v="0"/>
    <s v="New Delhi"/>
    <x v="2"/>
    <x v="2"/>
    <x v="4"/>
    <d v="2025-10-01T00:00:00"/>
    <x v="0"/>
    <n v="1"/>
    <x v="5"/>
  </r>
  <r>
    <x v="165"/>
    <x v="165"/>
    <s v="Kavita Reddy"/>
    <x v="24"/>
    <x v="2"/>
    <x v="0"/>
    <s v="Coimbatore"/>
    <x v="5"/>
    <x v="5"/>
    <x v="0"/>
    <d v="2025-04-27T00:00:00"/>
    <x v="9"/>
    <n v="2"/>
    <x v="17"/>
  </r>
  <r>
    <x v="166"/>
    <x v="166"/>
    <s v="Raj Iyer"/>
    <x v="25"/>
    <x v="0"/>
    <x v="0"/>
    <s v="Durgapur"/>
    <x v="3"/>
    <x v="0"/>
    <x v="4"/>
    <d v="2024-12-28T00:00:00"/>
    <x v="10"/>
    <n v="4"/>
    <x v="16"/>
  </r>
  <r>
    <x v="167"/>
    <x v="167"/>
    <s v="Ritu Nair"/>
    <x v="5"/>
    <x v="0"/>
    <x v="0"/>
    <s v="Mysuru"/>
    <x v="1"/>
    <x v="3"/>
    <x v="4"/>
    <d v="2025-03-21T00:00:00"/>
    <x v="5"/>
    <n v="4"/>
    <x v="10"/>
  </r>
  <r>
    <x v="168"/>
    <x v="168"/>
    <s v="Suresh Sharma"/>
    <x v="44"/>
    <x v="1"/>
    <x v="0"/>
    <s v="Mysuru"/>
    <x v="1"/>
    <x v="3"/>
    <x v="3"/>
    <d v="2025-10-16T00:00:00"/>
    <x v="0"/>
    <n v="1"/>
    <x v="19"/>
  </r>
  <r>
    <x v="169"/>
    <x v="169"/>
    <s v="Vikas Gupta"/>
    <x v="23"/>
    <x v="2"/>
    <x v="0"/>
    <s v="Pune"/>
    <x v="0"/>
    <x v="4"/>
    <x v="0"/>
    <d v="2024-11-16T00:00:00"/>
    <x v="7"/>
    <n v="4"/>
    <x v="7"/>
  </r>
  <r>
    <x v="170"/>
    <x v="170"/>
    <s v="Arjun Kumar"/>
    <x v="33"/>
    <x v="0"/>
    <x v="0"/>
    <s v="Ahmedabad"/>
    <x v="6"/>
    <x v="1"/>
    <x v="0"/>
    <d v="2025-01-28T00:00:00"/>
    <x v="4"/>
    <n v="5"/>
    <x v="1"/>
  </r>
  <r>
    <x v="171"/>
    <x v="171"/>
    <s v="Rohan Kumar"/>
    <x v="26"/>
    <x v="2"/>
    <x v="1"/>
    <s v="New Delhi"/>
    <x v="2"/>
    <x v="0"/>
    <x v="3"/>
    <d v="2025-03-30T00:00:00"/>
    <x v="5"/>
    <n v="2"/>
    <x v="15"/>
  </r>
  <r>
    <x v="172"/>
    <x v="172"/>
    <s v="Amit Singh"/>
    <x v="42"/>
    <x v="0"/>
    <x v="1"/>
    <s v="Howrah"/>
    <x v="3"/>
    <x v="3"/>
    <x v="3"/>
    <d v="2025-02-12T00:00:00"/>
    <x v="1"/>
    <n v="5"/>
    <x v="16"/>
  </r>
  <r>
    <x v="173"/>
    <x v="173"/>
    <s v="Vikas Kumar"/>
    <x v="16"/>
    <x v="0"/>
    <x v="0"/>
    <s v="Jaipur"/>
    <x v="4"/>
    <x v="1"/>
    <x v="4"/>
    <d v="2025-06-11T00:00:00"/>
    <x v="8"/>
    <n v="5"/>
    <x v="1"/>
  </r>
  <r>
    <x v="174"/>
    <x v="174"/>
    <s v="Kavita Gupta"/>
    <x v="20"/>
    <x v="2"/>
    <x v="0"/>
    <s v="Pune"/>
    <x v="0"/>
    <x v="5"/>
    <x v="2"/>
    <d v="2024-11-01T00:00:00"/>
    <x v="7"/>
    <n v="3"/>
    <x v="20"/>
  </r>
  <r>
    <x v="175"/>
    <x v="175"/>
    <s v="Arjun Sharma"/>
    <x v="29"/>
    <x v="2"/>
    <x v="0"/>
    <s v="Howrah"/>
    <x v="3"/>
    <x v="0"/>
    <x v="4"/>
    <d v="2025-03-14T00:00:00"/>
    <x v="5"/>
    <n v="5"/>
    <x v="0"/>
  </r>
  <r>
    <x v="176"/>
    <x v="176"/>
    <s v="Priya Yadav"/>
    <x v="20"/>
    <x v="2"/>
    <x v="0"/>
    <s v="Mangalore"/>
    <x v="1"/>
    <x v="0"/>
    <x v="4"/>
    <d v="2025-07-02T00:00:00"/>
    <x v="11"/>
    <n v="2"/>
    <x v="15"/>
  </r>
  <r>
    <x v="177"/>
    <x v="177"/>
    <s v="Kavita Reddy"/>
    <x v="17"/>
    <x v="2"/>
    <x v="1"/>
    <s v="Mumbai"/>
    <x v="0"/>
    <x v="3"/>
    <x v="3"/>
    <d v="2024-11-13T00:00:00"/>
    <x v="7"/>
    <n v="4"/>
    <x v="10"/>
  </r>
  <r>
    <x v="178"/>
    <x v="178"/>
    <s v="Arjun Sharma"/>
    <x v="26"/>
    <x v="2"/>
    <x v="1"/>
    <s v="New Delhi"/>
    <x v="2"/>
    <x v="1"/>
    <x v="4"/>
    <d v="2025-03-31T00:00:00"/>
    <x v="5"/>
    <n v="4"/>
    <x v="24"/>
  </r>
  <r>
    <x v="179"/>
    <x v="179"/>
    <s v="Amit Yadav"/>
    <x v="35"/>
    <x v="0"/>
    <x v="1"/>
    <s v="Ahmedabad"/>
    <x v="6"/>
    <x v="5"/>
    <x v="3"/>
    <d v="2024-12-11T00:00:00"/>
    <x v="10"/>
    <n v="2"/>
    <x v="17"/>
  </r>
  <r>
    <x v="180"/>
    <x v="180"/>
    <s v="Anita Singh"/>
    <x v="37"/>
    <x v="2"/>
    <x v="1"/>
    <s v="Udaipur"/>
    <x v="4"/>
    <x v="1"/>
    <x v="4"/>
    <d v="2024-11-12T00:00:00"/>
    <x v="7"/>
    <n v="1"/>
    <x v="9"/>
  </r>
  <r>
    <x v="181"/>
    <x v="181"/>
    <s v="Priya Nair"/>
    <x v="45"/>
    <x v="2"/>
    <x v="0"/>
    <s v="Surat"/>
    <x v="6"/>
    <x v="3"/>
    <x v="4"/>
    <d v="2025-08-14T00:00:00"/>
    <x v="3"/>
    <n v="3"/>
    <x v="3"/>
  </r>
  <r>
    <x v="182"/>
    <x v="182"/>
    <s v="Kavita Nair"/>
    <x v="11"/>
    <x v="0"/>
    <x v="1"/>
    <s v="Howrah"/>
    <x v="3"/>
    <x v="1"/>
    <x v="1"/>
    <d v="2025-04-09T00:00:00"/>
    <x v="9"/>
    <n v="5"/>
    <x v="1"/>
  </r>
  <r>
    <x v="183"/>
    <x v="183"/>
    <s v="Ritu Kumar"/>
    <x v="34"/>
    <x v="2"/>
    <x v="0"/>
    <s v="Kolkata"/>
    <x v="3"/>
    <x v="4"/>
    <x v="1"/>
    <d v="2025-06-16T00:00:00"/>
    <x v="8"/>
    <n v="3"/>
    <x v="13"/>
  </r>
  <r>
    <x v="184"/>
    <x v="184"/>
    <s v="Kavita Patel"/>
    <x v="41"/>
    <x v="0"/>
    <x v="1"/>
    <s v="Nagpur"/>
    <x v="0"/>
    <x v="0"/>
    <x v="0"/>
    <d v="2024-11-21T00:00:00"/>
    <x v="7"/>
    <n v="1"/>
    <x v="21"/>
  </r>
  <r>
    <x v="185"/>
    <x v="185"/>
    <s v="Priya Gupta"/>
    <x v="10"/>
    <x v="1"/>
    <x v="1"/>
    <s v="Madurai"/>
    <x v="5"/>
    <x v="2"/>
    <x v="0"/>
    <d v="2025-03-08T00:00:00"/>
    <x v="5"/>
    <n v="4"/>
    <x v="4"/>
  </r>
  <r>
    <x v="186"/>
    <x v="186"/>
    <s v="Rahul Sharma"/>
    <x v="46"/>
    <x v="2"/>
    <x v="0"/>
    <s v="Ahmedabad"/>
    <x v="6"/>
    <x v="4"/>
    <x v="2"/>
    <d v="2025-07-02T00:00:00"/>
    <x v="11"/>
    <n v="5"/>
    <x v="18"/>
  </r>
  <r>
    <x v="187"/>
    <x v="187"/>
    <s v="Rohan Verma"/>
    <x v="0"/>
    <x v="0"/>
    <x v="0"/>
    <s v="Kolkata"/>
    <x v="3"/>
    <x v="5"/>
    <x v="1"/>
    <d v="2024-12-14T00:00:00"/>
    <x v="10"/>
    <n v="4"/>
    <x v="22"/>
  </r>
  <r>
    <x v="188"/>
    <x v="188"/>
    <s v="Raj Nair"/>
    <x v="38"/>
    <x v="2"/>
    <x v="1"/>
    <s v="Jodhpur"/>
    <x v="4"/>
    <x v="0"/>
    <x v="0"/>
    <d v="2025-04-20T00:00:00"/>
    <x v="9"/>
    <n v="5"/>
    <x v="0"/>
  </r>
  <r>
    <x v="189"/>
    <x v="189"/>
    <s v="Arjun Patel"/>
    <x v="41"/>
    <x v="0"/>
    <x v="0"/>
    <s v="Coimbatore"/>
    <x v="5"/>
    <x v="1"/>
    <x v="4"/>
    <d v="2025-07-21T00:00:00"/>
    <x v="11"/>
    <n v="4"/>
    <x v="24"/>
  </r>
  <r>
    <x v="190"/>
    <x v="190"/>
    <s v="Amit Reddy"/>
    <x v="40"/>
    <x v="2"/>
    <x v="0"/>
    <s v="Mangalore"/>
    <x v="1"/>
    <x v="0"/>
    <x v="2"/>
    <d v="2025-06-17T00:00:00"/>
    <x v="8"/>
    <n v="5"/>
    <x v="0"/>
  </r>
  <r>
    <x v="191"/>
    <x v="191"/>
    <s v="Suresh Patel"/>
    <x v="34"/>
    <x v="2"/>
    <x v="1"/>
    <s v="Chennai"/>
    <x v="5"/>
    <x v="0"/>
    <x v="4"/>
    <d v="2024-12-28T00:00:00"/>
    <x v="10"/>
    <n v="1"/>
    <x v="21"/>
  </r>
  <r>
    <x v="192"/>
    <x v="192"/>
    <s v="Neha Singh"/>
    <x v="6"/>
    <x v="1"/>
    <x v="1"/>
    <s v="Surat"/>
    <x v="6"/>
    <x v="5"/>
    <x v="0"/>
    <d v="2025-05-19T00:00:00"/>
    <x v="2"/>
    <n v="1"/>
    <x v="3"/>
  </r>
  <r>
    <x v="193"/>
    <x v="193"/>
    <s v="Priya Kumar"/>
    <x v="12"/>
    <x v="1"/>
    <x v="0"/>
    <s v="Nagpur"/>
    <x v="0"/>
    <x v="3"/>
    <x v="4"/>
    <d v="2025-08-23T00:00:00"/>
    <x v="3"/>
    <n v="3"/>
    <x v="3"/>
  </r>
  <r>
    <x v="194"/>
    <x v="194"/>
    <s v="Raj Verma"/>
    <x v="12"/>
    <x v="1"/>
    <x v="1"/>
    <s v="Kolkata"/>
    <x v="3"/>
    <x v="3"/>
    <x v="4"/>
    <d v="2025-06-14T00:00:00"/>
    <x v="8"/>
    <n v="1"/>
    <x v="19"/>
  </r>
  <r>
    <x v="195"/>
    <x v="195"/>
    <s v="Suresh Yadav"/>
    <x v="26"/>
    <x v="2"/>
    <x v="0"/>
    <s v="Mangalore"/>
    <x v="1"/>
    <x v="5"/>
    <x v="1"/>
    <d v="2025-08-23T00:00:00"/>
    <x v="3"/>
    <n v="4"/>
    <x v="22"/>
  </r>
  <r>
    <x v="196"/>
    <x v="196"/>
    <s v="Arjun Reddy"/>
    <x v="6"/>
    <x v="1"/>
    <x v="1"/>
    <s v="Durgapur"/>
    <x v="3"/>
    <x v="1"/>
    <x v="3"/>
    <d v="2024-11-23T00:00:00"/>
    <x v="7"/>
    <n v="3"/>
    <x v="11"/>
  </r>
  <r>
    <x v="197"/>
    <x v="197"/>
    <s v="Neha Singh"/>
    <x v="3"/>
    <x v="2"/>
    <x v="0"/>
    <s v="Nagpur"/>
    <x v="0"/>
    <x v="1"/>
    <x v="3"/>
    <d v="2025-03-22T00:00:00"/>
    <x v="5"/>
    <n v="3"/>
    <x v="11"/>
  </r>
  <r>
    <x v="198"/>
    <x v="198"/>
    <s v="Kavita Nair"/>
    <x v="11"/>
    <x v="0"/>
    <x v="1"/>
    <s v="New Delhi"/>
    <x v="2"/>
    <x v="1"/>
    <x v="4"/>
    <d v="2024-11-06T00:00:00"/>
    <x v="7"/>
    <n v="1"/>
    <x v="9"/>
  </r>
  <r>
    <x v="199"/>
    <x v="199"/>
    <s v="Vikas Singh"/>
    <x v="30"/>
    <x v="0"/>
    <x v="0"/>
    <s v="Bengaluru"/>
    <x v="1"/>
    <x v="3"/>
    <x v="1"/>
    <d v="2025-07-22T00:00:00"/>
    <x v="11"/>
    <n v="2"/>
    <x v="12"/>
  </r>
  <r>
    <x v="200"/>
    <x v="200"/>
    <s v="Amit Iyer"/>
    <x v="2"/>
    <x v="1"/>
    <x v="1"/>
    <s v="Nagpur"/>
    <x v="0"/>
    <x v="1"/>
    <x v="2"/>
    <d v="2025-03-10T00:00:00"/>
    <x v="5"/>
    <n v="5"/>
    <x v="1"/>
  </r>
  <r>
    <x v="201"/>
    <x v="201"/>
    <s v="Kavita Kumar"/>
    <x v="15"/>
    <x v="1"/>
    <x v="1"/>
    <s v="New Delhi"/>
    <x v="2"/>
    <x v="4"/>
    <x v="0"/>
    <d v="2024-12-25T00:00:00"/>
    <x v="10"/>
    <n v="1"/>
    <x v="6"/>
  </r>
  <r>
    <x v="202"/>
    <x v="202"/>
    <s v="Kavita Yadav"/>
    <x v="24"/>
    <x v="2"/>
    <x v="1"/>
    <s v="Bengaluru"/>
    <x v="1"/>
    <x v="0"/>
    <x v="1"/>
    <d v="2024-11-04T00:00:00"/>
    <x v="7"/>
    <n v="1"/>
    <x v="21"/>
  </r>
  <r>
    <x v="203"/>
    <x v="203"/>
    <s v="Amit Singh"/>
    <x v="5"/>
    <x v="0"/>
    <x v="0"/>
    <s v="Vadodara"/>
    <x v="6"/>
    <x v="2"/>
    <x v="1"/>
    <d v="2025-02-05T00:00:00"/>
    <x v="1"/>
    <n v="4"/>
    <x v="4"/>
  </r>
  <r>
    <x v="204"/>
    <x v="204"/>
    <s v="Suresh Iyer"/>
    <x v="44"/>
    <x v="1"/>
    <x v="0"/>
    <s v="Ahmedabad"/>
    <x v="6"/>
    <x v="1"/>
    <x v="0"/>
    <d v="2024-12-23T00:00:00"/>
    <x v="10"/>
    <n v="2"/>
    <x v="23"/>
  </r>
  <r>
    <x v="205"/>
    <x v="205"/>
    <s v="Manish Sharma"/>
    <x v="44"/>
    <x v="1"/>
    <x v="1"/>
    <s v="Mumbai"/>
    <x v="0"/>
    <x v="3"/>
    <x v="3"/>
    <d v="2025-10-05T00:00:00"/>
    <x v="0"/>
    <n v="4"/>
    <x v="10"/>
  </r>
  <r>
    <x v="206"/>
    <x v="206"/>
    <s v="Raj Reddy"/>
    <x v="35"/>
    <x v="0"/>
    <x v="0"/>
    <s v="Durgapur"/>
    <x v="3"/>
    <x v="4"/>
    <x v="4"/>
    <d v="2025-03-02T00:00:00"/>
    <x v="5"/>
    <n v="3"/>
    <x v="13"/>
  </r>
  <r>
    <x v="207"/>
    <x v="207"/>
    <s v="Priya Yadav"/>
    <x v="11"/>
    <x v="0"/>
    <x v="1"/>
    <s v="Nagpur"/>
    <x v="0"/>
    <x v="1"/>
    <x v="2"/>
    <d v="2025-10-14T00:00:00"/>
    <x v="0"/>
    <n v="5"/>
    <x v="1"/>
  </r>
  <r>
    <x v="208"/>
    <x v="208"/>
    <s v="Rahul Iyer"/>
    <x v="16"/>
    <x v="0"/>
    <x v="0"/>
    <s v="Udaipur"/>
    <x v="4"/>
    <x v="3"/>
    <x v="1"/>
    <d v="2025-08-01T00:00:00"/>
    <x v="3"/>
    <n v="3"/>
    <x v="3"/>
  </r>
  <r>
    <x v="209"/>
    <x v="209"/>
    <s v="Arjun Iyer"/>
    <x v="37"/>
    <x v="2"/>
    <x v="0"/>
    <s v="Mangalore"/>
    <x v="1"/>
    <x v="4"/>
    <x v="1"/>
    <d v="2025-08-09T00:00:00"/>
    <x v="3"/>
    <n v="5"/>
    <x v="18"/>
  </r>
  <r>
    <x v="210"/>
    <x v="210"/>
    <s v="Rahul Iyer"/>
    <x v="7"/>
    <x v="1"/>
    <x v="0"/>
    <s v="Madurai"/>
    <x v="5"/>
    <x v="5"/>
    <x v="4"/>
    <d v="2025-02-08T00:00:00"/>
    <x v="1"/>
    <n v="4"/>
    <x v="22"/>
  </r>
  <r>
    <x v="211"/>
    <x v="211"/>
    <s v="Neha Gupta"/>
    <x v="40"/>
    <x v="2"/>
    <x v="0"/>
    <s v="Coimbatore"/>
    <x v="5"/>
    <x v="3"/>
    <x v="1"/>
    <d v="2025-07-11T00:00:00"/>
    <x v="11"/>
    <n v="2"/>
    <x v="12"/>
  </r>
  <r>
    <x v="212"/>
    <x v="212"/>
    <s v="Manish Sharma"/>
    <x v="21"/>
    <x v="1"/>
    <x v="1"/>
    <s v="New Delhi"/>
    <x v="2"/>
    <x v="3"/>
    <x v="2"/>
    <d v="2025-10-17T00:00:00"/>
    <x v="0"/>
    <n v="4"/>
    <x v="10"/>
  </r>
  <r>
    <x v="213"/>
    <x v="213"/>
    <s v="Sneha Kumar"/>
    <x v="34"/>
    <x v="2"/>
    <x v="0"/>
    <s v="Coimbatore"/>
    <x v="5"/>
    <x v="4"/>
    <x v="1"/>
    <d v="2024-12-22T00:00:00"/>
    <x v="10"/>
    <n v="1"/>
    <x v="6"/>
  </r>
  <r>
    <x v="214"/>
    <x v="214"/>
    <s v="Anita Gupta"/>
    <x v="43"/>
    <x v="2"/>
    <x v="1"/>
    <s v="Jaipur"/>
    <x v="4"/>
    <x v="0"/>
    <x v="0"/>
    <d v="2025-04-26T00:00:00"/>
    <x v="9"/>
    <n v="1"/>
    <x v="21"/>
  </r>
  <r>
    <x v="215"/>
    <x v="215"/>
    <s v="Rahul Nair"/>
    <x v="45"/>
    <x v="2"/>
    <x v="0"/>
    <s v="Vadodara"/>
    <x v="6"/>
    <x v="3"/>
    <x v="3"/>
    <d v="2025-02-09T00:00:00"/>
    <x v="1"/>
    <n v="2"/>
    <x v="12"/>
  </r>
  <r>
    <x v="216"/>
    <x v="216"/>
    <s v="Kavita Gupta"/>
    <x v="21"/>
    <x v="1"/>
    <x v="0"/>
    <s v="Vadodara"/>
    <x v="6"/>
    <x v="1"/>
    <x v="4"/>
    <d v="2025-02-14T00:00:00"/>
    <x v="1"/>
    <n v="4"/>
    <x v="24"/>
  </r>
  <r>
    <x v="217"/>
    <x v="217"/>
    <s v="Arjun Patel"/>
    <x v="37"/>
    <x v="2"/>
    <x v="1"/>
    <s v="Chennai"/>
    <x v="5"/>
    <x v="2"/>
    <x v="3"/>
    <d v="2024-10-27T00:00:00"/>
    <x v="0"/>
    <n v="5"/>
    <x v="8"/>
  </r>
  <r>
    <x v="218"/>
    <x v="218"/>
    <s v="Ritu Iyer"/>
    <x v="3"/>
    <x v="2"/>
    <x v="0"/>
    <s v="Udaipur"/>
    <x v="4"/>
    <x v="0"/>
    <x v="2"/>
    <d v="2025-02-05T00:00:00"/>
    <x v="1"/>
    <n v="5"/>
    <x v="0"/>
  </r>
  <r>
    <x v="219"/>
    <x v="219"/>
    <s v="Ritu Reddy"/>
    <x v="19"/>
    <x v="0"/>
    <x v="1"/>
    <s v="Jaipur"/>
    <x v="4"/>
    <x v="1"/>
    <x v="3"/>
    <d v="2025-10-01T00:00:00"/>
    <x v="0"/>
    <n v="1"/>
    <x v="9"/>
  </r>
  <r>
    <x v="220"/>
    <x v="220"/>
    <s v="Arjun Patel"/>
    <x v="18"/>
    <x v="1"/>
    <x v="0"/>
    <s v="Mangalore"/>
    <x v="1"/>
    <x v="2"/>
    <x v="3"/>
    <d v="2024-11-17T00:00:00"/>
    <x v="7"/>
    <n v="4"/>
    <x v="4"/>
  </r>
  <r>
    <x v="221"/>
    <x v="221"/>
    <s v="Arjun Yadav"/>
    <x v="6"/>
    <x v="1"/>
    <x v="1"/>
    <s v="Howrah"/>
    <x v="3"/>
    <x v="5"/>
    <x v="0"/>
    <d v="2025-09-29T00:00:00"/>
    <x v="6"/>
    <n v="5"/>
    <x v="5"/>
  </r>
  <r>
    <x v="222"/>
    <x v="222"/>
    <s v="Suresh Yadav"/>
    <x v="27"/>
    <x v="1"/>
    <x v="1"/>
    <s v="Coimbatore"/>
    <x v="5"/>
    <x v="4"/>
    <x v="4"/>
    <d v="2025-03-13T00:00:00"/>
    <x v="5"/>
    <n v="1"/>
    <x v="6"/>
  </r>
  <r>
    <x v="223"/>
    <x v="223"/>
    <s v="Anita Gupta"/>
    <x v="24"/>
    <x v="2"/>
    <x v="1"/>
    <s v="Madurai"/>
    <x v="5"/>
    <x v="1"/>
    <x v="1"/>
    <d v="2025-01-04T00:00:00"/>
    <x v="4"/>
    <n v="2"/>
    <x v="23"/>
  </r>
  <r>
    <x v="224"/>
    <x v="224"/>
    <s v="Vikas Reddy"/>
    <x v="28"/>
    <x v="1"/>
    <x v="1"/>
    <s v="New Delhi"/>
    <x v="2"/>
    <x v="3"/>
    <x v="2"/>
    <d v="2025-04-20T00:00:00"/>
    <x v="9"/>
    <n v="4"/>
    <x v="10"/>
  </r>
  <r>
    <x v="225"/>
    <x v="225"/>
    <s v="Rohan Kumar"/>
    <x v="43"/>
    <x v="2"/>
    <x v="0"/>
    <s v="Coimbatore"/>
    <x v="5"/>
    <x v="4"/>
    <x v="0"/>
    <d v="2024-12-18T00:00:00"/>
    <x v="10"/>
    <n v="3"/>
    <x v="13"/>
  </r>
  <r>
    <x v="226"/>
    <x v="226"/>
    <s v="Kavita Reddy"/>
    <x v="7"/>
    <x v="1"/>
    <x v="1"/>
    <s v="Howrah"/>
    <x v="3"/>
    <x v="2"/>
    <x v="4"/>
    <d v="2025-03-20T00:00:00"/>
    <x v="5"/>
    <n v="1"/>
    <x v="5"/>
  </r>
  <r>
    <x v="227"/>
    <x v="227"/>
    <s v="Ritu Verma"/>
    <x v="26"/>
    <x v="2"/>
    <x v="0"/>
    <s v="Surat"/>
    <x v="6"/>
    <x v="3"/>
    <x v="0"/>
    <d v="2025-08-08T00:00:00"/>
    <x v="3"/>
    <n v="1"/>
    <x v="19"/>
  </r>
  <r>
    <x v="228"/>
    <x v="228"/>
    <s v="Ritu Nair"/>
    <x v="6"/>
    <x v="1"/>
    <x v="0"/>
    <s v="Vadodara"/>
    <x v="6"/>
    <x v="3"/>
    <x v="3"/>
    <d v="2025-03-15T00:00:00"/>
    <x v="5"/>
    <n v="5"/>
    <x v="16"/>
  </r>
  <r>
    <x v="229"/>
    <x v="229"/>
    <s v="Rohan Iyer"/>
    <x v="35"/>
    <x v="0"/>
    <x v="0"/>
    <s v="Pune"/>
    <x v="0"/>
    <x v="2"/>
    <x v="0"/>
    <d v="2025-08-08T00:00:00"/>
    <x v="3"/>
    <n v="2"/>
    <x v="7"/>
  </r>
  <r>
    <x v="230"/>
    <x v="230"/>
    <s v="Arjun Patel"/>
    <x v="22"/>
    <x v="1"/>
    <x v="0"/>
    <s v="Bengaluru"/>
    <x v="1"/>
    <x v="4"/>
    <x v="3"/>
    <d v="2024-12-31T00:00:00"/>
    <x v="10"/>
    <n v="5"/>
    <x v="18"/>
  </r>
  <r>
    <x v="231"/>
    <x v="231"/>
    <s v="Arjun Gupta"/>
    <x v="44"/>
    <x v="1"/>
    <x v="0"/>
    <s v="Durgapur"/>
    <x v="3"/>
    <x v="1"/>
    <x v="4"/>
    <d v="2025-04-07T00:00:00"/>
    <x v="9"/>
    <n v="3"/>
    <x v="11"/>
  </r>
  <r>
    <x v="232"/>
    <x v="232"/>
    <s v="Kavita Patel"/>
    <x v="22"/>
    <x v="1"/>
    <x v="1"/>
    <s v="Pune"/>
    <x v="0"/>
    <x v="3"/>
    <x v="4"/>
    <d v="2025-09-13T00:00:00"/>
    <x v="6"/>
    <n v="4"/>
    <x v="10"/>
  </r>
  <r>
    <x v="233"/>
    <x v="233"/>
    <s v="Ritu Gupta"/>
    <x v="9"/>
    <x v="1"/>
    <x v="0"/>
    <s v="Ahmedabad"/>
    <x v="6"/>
    <x v="0"/>
    <x v="2"/>
    <d v="2025-05-05T00:00:00"/>
    <x v="2"/>
    <n v="1"/>
    <x v="21"/>
  </r>
  <r>
    <x v="234"/>
    <x v="234"/>
    <s v="Vikas Singh"/>
    <x v="38"/>
    <x v="2"/>
    <x v="0"/>
    <s v="New Delhi"/>
    <x v="2"/>
    <x v="0"/>
    <x v="4"/>
    <d v="2025-01-01T00:00:00"/>
    <x v="4"/>
    <n v="4"/>
    <x v="16"/>
  </r>
  <r>
    <x v="235"/>
    <x v="235"/>
    <s v="Priya Patel"/>
    <x v="36"/>
    <x v="2"/>
    <x v="1"/>
    <s v="Mysuru"/>
    <x v="1"/>
    <x v="5"/>
    <x v="4"/>
    <d v="2025-10-15T00:00:00"/>
    <x v="0"/>
    <n v="5"/>
    <x v="5"/>
  </r>
  <r>
    <x v="236"/>
    <x v="236"/>
    <s v="Rahul Singh"/>
    <x v="30"/>
    <x v="0"/>
    <x v="0"/>
    <s v="New Delhi"/>
    <x v="2"/>
    <x v="0"/>
    <x v="0"/>
    <d v="2025-01-10T00:00:00"/>
    <x v="4"/>
    <n v="4"/>
    <x v="16"/>
  </r>
  <r>
    <x v="237"/>
    <x v="237"/>
    <s v="Neha Kumar"/>
    <x v="42"/>
    <x v="0"/>
    <x v="1"/>
    <s v="Mangalore"/>
    <x v="1"/>
    <x v="5"/>
    <x v="2"/>
    <d v="2024-12-02T00:00:00"/>
    <x v="10"/>
    <n v="3"/>
    <x v="20"/>
  </r>
  <r>
    <x v="238"/>
    <x v="238"/>
    <s v="Arjun Kumar"/>
    <x v="45"/>
    <x v="2"/>
    <x v="0"/>
    <s v="Kolkata"/>
    <x v="3"/>
    <x v="0"/>
    <x v="1"/>
    <d v="2025-08-24T00:00:00"/>
    <x v="3"/>
    <n v="2"/>
    <x v="15"/>
  </r>
  <r>
    <x v="239"/>
    <x v="239"/>
    <s v="Manish Iyer"/>
    <x v="47"/>
    <x v="1"/>
    <x v="1"/>
    <s v="Kolkata"/>
    <x v="3"/>
    <x v="5"/>
    <x v="3"/>
    <d v="2025-09-10T00:00:00"/>
    <x v="6"/>
    <n v="1"/>
    <x v="3"/>
  </r>
  <r>
    <x v="240"/>
    <x v="240"/>
    <s v="Neha Gupta"/>
    <x v="13"/>
    <x v="1"/>
    <x v="1"/>
    <s v="Coimbatore"/>
    <x v="5"/>
    <x v="1"/>
    <x v="2"/>
    <d v="2025-04-14T00:00:00"/>
    <x v="9"/>
    <n v="2"/>
    <x v="23"/>
  </r>
  <r>
    <x v="241"/>
    <x v="241"/>
    <s v="Rohan Nair"/>
    <x v="42"/>
    <x v="0"/>
    <x v="1"/>
    <s v="Ahmedabad"/>
    <x v="6"/>
    <x v="4"/>
    <x v="2"/>
    <d v="2024-12-08T00:00:00"/>
    <x v="10"/>
    <n v="2"/>
    <x v="5"/>
  </r>
  <r>
    <x v="242"/>
    <x v="242"/>
    <s v="Raj Yadav"/>
    <x v="13"/>
    <x v="1"/>
    <x v="0"/>
    <s v="Jodhpur"/>
    <x v="4"/>
    <x v="3"/>
    <x v="3"/>
    <d v="2025-08-04T00:00:00"/>
    <x v="3"/>
    <n v="2"/>
    <x v="12"/>
  </r>
  <r>
    <x v="243"/>
    <x v="243"/>
    <s v="Priya Gupta"/>
    <x v="44"/>
    <x v="1"/>
    <x v="1"/>
    <s v="Mangalore"/>
    <x v="1"/>
    <x v="3"/>
    <x v="0"/>
    <d v="2025-03-25T00:00:00"/>
    <x v="5"/>
    <n v="1"/>
    <x v="19"/>
  </r>
  <r>
    <x v="244"/>
    <x v="244"/>
    <s v="Anita Patel"/>
    <x v="43"/>
    <x v="2"/>
    <x v="1"/>
    <s v="Madurai"/>
    <x v="5"/>
    <x v="2"/>
    <x v="2"/>
    <d v="2025-01-06T00:00:00"/>
    <x v="4"/>
    <n v="1"/>
    <x v="5"/>
  </r>
  <r>
    <x v="245"/>
    <x v="245"/>
    <s v="Arjun Verma"/>
    <x v="1"/>
    <x v="1"/>
    <x v="0"/>
    <s v="Ahmedabad"/>
    <x v="6"/>
    <x v="1"/>
    <x v="4"/>
    <d v="2024-10-23T00:00:00"/>
    <x v="0"/>
    <n v="5"/>
    <x v="1"/>
  </r>
  <r>
    <x v="246"/>
    <x v="246"/>
    <s v="Priya Nair"/>
    <x v="43"/>
    <x v="2"/>
    <x v="1"/>
    <s v="Bengaluru"/>
    <x v="1"/>
    <x v="0"/>
    <x v="2"/>
    <d v="2025-02-17T00:00:00"/>
    <x v="1"/>
    <n v="5"/>
    <x v="0"/>
  </r>
  <r>
    <x v="247"/>
    <x v="247"/>
    <s v="Raj Patel"/>
    <x v="40"/>
    <x v="2"/>
    <x v="0"/>
    <s v="Surat"/>
    <x v="6"/>
    <x v="1"/>
    <x v="0"/>
    <d v="2025-01-20T00:00:00"/>
    <x v="4"/>
    <n v="5"/>
    <x v="1"/>
  </r>
  <r>
    <x v="248"/>
    <x v="248"/>
    <s v="Neha Iyer"/>
    <x v="10"/>
    <x v="1"/>
    <x v="1"/>
    <s v="Mumbai"/>
    <x v="0"/>
    <x v="1"/>
    <x v="2"/>
    <d v="2025-03-21T00:00:00"/>
    <x v="5"/>
    <n v="1"/>
    <x v="9"/>
  </r>
  <r>
    <x v="249"/>
    <x v="249"/>
    <s v="Raj Gupta"/>
    <x v="4"/>
    <x v="1"/>
    <x v="0"/>
    <s v="Udaipur"/>
    <x v="4"/>
    <x v="5"/>
    <x v="1"/>
    <d v="2025-05-26T00:00:00"/>
    <x v="2"/>
    <n v="5"/>
    <x v="5"/>
  </r>
  <r>
    <x v="250"/>
    <x v="250"/>
    <s v="Anita Yadav"/>
    <x v="21"/>
    <x v="1"/>
    <x v="1"/>
    <s v="Howrah"/>
    <x v="3"/>
    <x v="3"/>
    <x v="1"/>
    <d v="2025-03-08T00:00:00"/>
    <x v="5"/>
    <n v="3"/>
    <x v="3"/>
  </r>
  <r>
    <x v="251"/>
    <x v="251"/>
    <s v="Rahul Verma"/>
    <x v="2"/>
    <x v="1"/>
    <x v="0"/>
    <s v="Mumbai"/>
    <x v="0"/>
    <x v="3"/>
    <x v="1"/>
    <d v="2025-01-04T00:00:00"/>
    <x v="4"/>
    <n v="5"/>
    <x v="16"/>
  </r>
  <r>
    <x v="252"/>
    <x v="252"/>
    <s v="Vikas Kumar"/>
    <x v="18"/>
    <x v="1"/>
    <x v="1"/>
    <s v="Bengaluru"/>
    <x v="1"/>
    <x v="3"/>
    <x v="3"/>
    <d v="2025-02-10T00:00:00"/>
    <x v="1"/>
    <n v="2"/>
    <x v="12"/>
  </r>
  <r>
    <x v="253"/>
    <x v="253"/>
    <s v="Manish Singh"/>
    <x v="22"/>
    <x v="1"/>
    <x v="1"/>
    <s v="Nagpur"/>
    <x v="0"/>
    <x v="0"/>
    <x v="0"/>
    <d v="2025-07-13T00:00:00"/>
    <x v="11"/>
    <n v="5"/>
    <x v="0"/>
  </r>
  <r>
    <x v="254"/>
    <x v="254"/>
    <s v="Neha Singh"/>
    <x v="46"/>
    <x v="2"/>
    <x v="0"/>
    <s v="Jaipur"/>
    <x v="4"/>
    <x v="0"/>
    <x v="2"/>
    <d v="2025-07-07T00:00:00"/>
    <x v="11"/>
    <n v="4"/>
    <x v="16"/>
  </r>
  <r>
    <x v="255"/>
    <x v="255"/>
    <s v="Priya Iyer"/>
    <x v="9"/>
    <x v="1"/>
    <x v="0"/>
    <s v="Howrah"/>
    <x v="3"/>
    <x v="2"/>
    <x v="4"/>
    <d v="2024-10-29T00:00:00"/>
    <x v="0"/>
    <n v="1"/>
    <x v="5"/>
  </r>
  <r>
    <x v="256"/>
    <x v="256"/>
    <s v="Rohan Reddy"/>
    <x v="31"/>
    <x v="0"/>
    <x v="1"/>
    <s v="Jodhpur"/>
    <x v="4"/>
    <x v="0"/>
    <x v="1"/>
    <d v="2025-05-13T00:00:00"/>
    <x v="2"/>
    <n v="2"/>
    <x v="15"/>
  </r>
  <r>
    <x v="257"/>
    <x v="257"/>
    <s v="Raj Patel"/>
    <x v="3"/>
    <x v="2"/>
    <x v="1"/>
    <s v="New Delhi"/>
    <x v="2"/>
    <x v="0"/>
    <x v="2"/>
    <d v="2025-10-07T00:00:00"/>
    <x v="0"/>
    <n v="3"/>
    <x v="14"/>
  </r>
  <r>
    <x v="258"/>
    <x v="258"/>
    <s v="Sneha Verma"/>
    <x v="12"/>
    <x v="1"/>
    <x v="0"/>
    <s v="Mangalore"/>
    <x v="1"/>
    <x v="0"/>
    <x v="0"/>
    <d v="2025-04-06T00:00:00"/>
    <x v="9"/>
    <n v="1"/>
    <x v="21"/>
  </r>
  <r>
    <x v="259"/>
    <x v="259"/>
    <s v="Amit Kumar"/>
    <x v="12"/>
    <x v="1"/>
    <x v="1"/>
    <s v="Jodhpur"/>
    <x v="4"/>
    <x v="1"/>
    <x v="4"/>
    <d v="2025-08-17T00:00:00"/>
    <x v="3"/>
    <n v="4"/>
    <x v="24"/>
  </r>
  <r>
    <x v="260"/>
    <x v="260"/>
    <s v="Manish Singh"/>
    <x v="7"/>
    <x v="1"/>
    <x v="1"/>
    <s v="Jaipur"/>
    <x v="4"/>
    <x v="2"/>
    <x v="1"/>
    <d v="2025-06-16T00:00:00"/>
    <x v="8"/>
    <n v="2"/>
    <x v="7"/>
  </r>
  <r>
    <x v="261"/>
    <x v="261"/>
    <s v="Arjun Kumar"/>
    <x v="13"/>
    <x v="1"/>
    <x v="1"/>
    <s v="Udaipur"/>
    <x v="4"/>
    <x v="2"/>
    <x v="1"/>
    <d v="2025-01-07T00:00:00"/>
    <x v="4"/>
    <n v="5"/>
    <x v="8"/>
  </r>
  <r>
    <x v="262"/>
    <x v="262"/>
    <s v="Priya Patel"/>
    <x v="8"/>
    <x v="2"/>
    <x v="0"/>
    <s v="Mysuru"/>
    <x v="1"/>
    <x v="2"/>
    <x v="0"/>
    <d v="2025-08-27T00:00:00"/>
    <x v="3"/>
    <n v="2"/>
    <x v="7"/>
  </r>
  <r>
    <x v="263"/>
    <x v="263"/>
    <s v="Kavita Gupta"/>
    <x v="10"/>
    <x v="1"/>
    <x v="0"/>
    <s v="New Delhi"/>
    <x v="2"/>
    <x v="3"/>
    <x v="3"/>
    <d v="2025-05-19T00:00:00"/>
    <x v="2"/>
    <n v="5"/>
    <x v="16"/>
  </r>
  <r>
    <x v="264"/>
    <x v="264"/>
    <s v="Rohan Yadav"/>
    <x v="8"/>
    <x v="2"/>
    <x v="0"/>
    <s v="Surat"/>
    <x v="6"/>
    <x v="2"/>
    <x v="4"/>
    <d v="2025-04-19T00:00:00"/>
    <x v="9"/>
    <n v="4"/>
    <x v="4"/>
  </r>
  <r>
    <x v="265"/>
    <x v="265"/>
    <s v="Amit Verma"/>
    <x v="45"/>
    <x v="2"/>
    <x v="0"/>
    <s v="Chennai"/>
    <x v="5"/>
    <x v="1"/>
    <x v="3"/>
    <d v="2025-05-09T00:00:00"/>
    <x v="2"/>
    <n v="1"/>
    <x v="9"/>
  </r>
  <r>
    <x v="266"/>
    <x v="266"/>
    <s v="Manish Patel"/>
    <x v="2"/>
    <x v="1"/>
    <x v="1"/>
    <s v="Madurai"/>
    <x v="5"/>
    <x v="5"/>
    <x v="0"/>
    <d v="2025-04-16T00:00:00"/>
    <x v="9"/>
    <n v="2"/>
    <x v="17"/>
  </r>
  <r>
    <x v="267"/>
    <x v="267"/>
    <s v="Divya Yadav"/>
    <x v="21"/>
    <x v="1"/>
    <x v="0"/>
    <s v="Bengaluru"/>
    <x v="1"/>
    <x v="1"/>
    <x v="3"/>
    <d v="2025-01-31T00:00:00"/>
    <x v="4"/>
    <n v="1"/>
    <x v="9"/>
  </r>
  <r>
    <x v="268"/>
    <x v="268"/>
    <s v="Suresh Gupta"/>
    <x v="34"/>
    <x v="2"/>
    <x v="1"/>
    <s v="Kolkata"/>
    <x v="3"/>
    <x v="3"/>
    <x v="2"/>
    <d v="2025-05-04T00:00:00"/>
    <x v="2"/>
    <n v="2"/>
    <x v="12"/>
  </r>
  <r>
    <x v="269"/>
    <x v="269"/>
    <s v="Priya Yadav"/>
    <x v="13"/>
    <x v="1"/>
    <x v="1"/>
    <s v="Durgapur"/>
    <x v="3"/>
    <x v="2"/>
    <x v="3"/>
    <d v="2025-04-08T00:00:00"/>
    <x v="9"/>
    <n v="2"/>
    <x v="7"/>
  </r>
  <r>
    <x v="270"/>
    <x v="270"/>
    <s v="Kavita Reddy"/>
    <x v="6"/>
    <x v="1"/>
    <x v="1"/>
    <s v="Mysuru"/>
    <x v="1"/>
    <x v="2"/>
    <x v="0"/>
    <d v="2025-06-11T00:00:00"/>
    <x v="8"/>
    <n v="2"/>
    <x v="7"/>
  </r>
  <r>
    <x v="271"/>
    <x v="271"/>
    <s v="Rahul Yadav"/>
    <x v="37"/>
    <x v="2"/>
    <x v="0"/>
    <s v="Nagpur"/>
    <x v="0"/>
    <x v="4"/>
    <x v="1"/>
    <d v="2024-10-24T00:00:00"/>
    <x v="0"/>
    <n v="1"/>
    <x v="6"/>
  </r>
  <r>
    <x v="272"/>
    <x v="272"/>
    <s v="Priya Gupta"/>
    <x v="25"/>
    <x v="0"/>
    <x v="1"/>
    <s v="New Delhi"/>
    <x v="2"/>
    <x v="5"/>
    <x v="2"/>
    <d v="2025-07-04T00:00:00"/>
    <x v="11"/>
    <n v="2"/>
    <x v="17"/>
  </r>
  <r>
    <x v="273"/>
    <x v="273"/>
    <s v="Rohan Patel"/>
    <x v="11"/>
    <x v="0"/>
    <x v="0"/>
    <s v="Coimbatore"/>
    <x v="5"/>
    <x v="5"/>
    <x v="3"/>
    <d v="2025-04-30T00:00:00"/>
    <x v="9"/>
    <n v="3"/>
    <x v="20"/>
  </r>
  <r>
    <x v="274"/>
    <x v="274"/>
    <s v="Raj Gupta"/>
    <x v="25"/>
    <x v="0"/>
    <x v="1"/>
    <s v="Jodhpur"/>
    <x v="4"/>
    <x v="1"/>
    <x v="1"/>
    <d v="2024-12-02T00:00:00"/>
    <x v="10"/>
    <n v="4"/>
    <x v="24"/>
  </r>
  <r>
    <x v="275"/>
    <x v="275"/>
    <s v="Ritu Sharma"/>
    <x v="13"/>
    <x v="1"/>
    <x v="1"/>
    <s v="New Delhi"/>
    <x v="2"/>
    <x v="2"/>
    <x v="2"/>
    <d v="2025-02-07T00:00:00"/>
    <x v="1"/>
    <n v="2"/>
    <x v="7"/>
  </r>
  <r>
    <x v="276"/>
    <x v="276"/>
    <s v="Arjun Yadav"/>
    <x v="28"/>
    <x v="1"/>
    <x v="0"/>
    <s v="Ahmedabad"/>
    <x v="6"/>
    <x v="5"/>
    <x v="2"/>
    <d v="2024-10-21T00:00:00"/>
    <x v="0"/>
    <n v="4"/>
    <x v="22"/>
  </r>
  <r>
    <x v="277"/>
    <x v="277"/>
    <s v="Rahul Reddy"/>
    <x v="6"/>
    <x v="1"/>
    <x v="0"/>
    <s v="Mangalore"/>
    <x v="1"/>
    <x v="4"/>
    <x v="3"/>
    <d v="2025-05-14T00:00:00"/>
    <x v="2"/>
    <n v="5"/>
    <x v="18"/>
  </r>
  <r>
    <x v="278"/>
    <x v="278"/>
    <s v="Sneha Patel"/>
    <x v="27"/>
    <x v="1"/>
    <x v="0"/>
    <s v="Nagpur"/>
    <x v="0"/>
    <x v="4"/>
    <x v="4"/>
    <d v="2025-07-20T00:00:00"/>
    <x v="11"/>
    <n v="3"/>
    <x v="13"/>
  </r>
  <r>
    <x v="279"/>
    <x v="279"/>
    <s v="Rahul Patel"/>
    <x v="46"/>
    <x v="2"/>
    <x v="1"/>
    <s v="New Delhi"/>
    <x v="2"/>
    <x v="3"/>
    <x v="2"/>
    <d v="2025-01-25T00:00:00"/>
    <x v="4"/>
    <n v="3"/>
    <x v="3"/>
  </r>
  <r>
    <x v="280"/>
    <x v="280"/>
    <s v="Raj Patel"/>
    <x v="21"/>
    <x v="1"/>
    <x v="0"/>
    <s v="Surat"/>
    <x v="6"/>
    <x v="0"/>
    <x v="4"/>
    <d v="2025-02-12T00:00:00"/>
    <x v="1"/>
    <n v="5"/>
    <x v="0"/>
  </r>
  <r>
    <x v="281"/>
    <x v="281"/>
    <s v="Manish Iyer"/>
    <x v="12"/>
    <x v="1"/>
    <x v="1"/>
    <s v="Pune"/>
    <x v="0"/>
    <x v="5"/>
    <x v="0"/>
    <d v="2025-04-07T00:00:00"/>
    <x v="9"/>
    <n v="5"/>
    <x v="5"/>
  </r>
  <r>
    <x v="282"/>
    <x v="282"/>
    <s v="Manish Nair"/>
    <x v="31"/>
    <x v="0"/>
    <x v="1"/>
    <s v="Nagpur"/>
    <x v="0"/>
    <x v="4"/>
    <x v="2"/>
    <d v="2025-01-22T00:00:00"/>
    <x v="4"/>
    <n v="4"/>
    <x v="7"/>
  </r>
  <r>
    <x v="283"/>
    <x v="283"/>
    <s v="Kavita Reddy"/>
    <x v="11"/>
    <x v="0"/>
    <x v="1"/>
    <s v="Mumbai"/>
    <x v="0"/>
    <x v="5"/>
    <x v="2"/>
    <d v="2025-04-10T00:00:00"/>
    <x v="9"/>
    <n v="1"/>
    <x v="3"/>
  </r>
  <r>
    <x v="284"/>
    <x v="284"/>
    <s v="Rahul Nair"/>
    <x v="43"/>
    <x v="2"/>
    <x v="1"/>
    <s v="Surat"/>
    <x v="6"/>
    <x v="1"/>
    <x v="3"/>
    <d v="2025-03-22T00:00:00"/>
    <x v="5"/>
    <n v="1"/>
    <x v="9"/>
  </r>
  <r>
    <x v="285"/>
    <x v="285"/>
    <s v="Anita Kumar"/>
    <x v="21"/>
    <x v="1"/>
    <x v="1"/>
    <s v="Vadodara"/>
    <x v="6"/>
    <x v="0"/>
    <x v="1"/>
    <d v="2025-10-12T00:00:00"/>
    <x v="0"/>
    <n v="2"/>
    <x v="15"/>
  </r>
  <r>
    <x v="286"/>
    <x v="286"/>
    <s v="Divya Reddy"/>
    <x v="19"/>
    <x v="0"/>
    <x v="1"/>
    <s v="Surat"/>
    <x v="6"/>
    <x v="3"/>
    <x v="4"/>
    <d v="2025-05-24T00:00:00"/>
    <x v="2"/>
    <n v="4"/>
    <x v="10"/>
  </r>
  <r>
    <x v="287"/>
    <x v="287"/>
    <s v="Suresh Gupta"/>
    <x v="22"/>
    <x v="1"/>
    <x v="0"/>
    <s v="Coimbatore"/>
    <x v="5"/>
    <x v="5"/>
    <x v="1"/>
    <d v="2025-04-06T00:00:00"/>
    <x v="9"/>
    <n v="3"/>
    <x v="20"/>
  </r>
  <r>
    <x v="288"/>
    <x v="288"/>
    <s v="Vikas Verma"/>
    <x v="44"/>
    <x v="1"/>
    <x v="0"/>
    <s v="Durgapur"/>
    <x v="3"/>
    <x v="5"/>
    <x v="0"/>
    <d v="2025-09-13T00:00:00"/>
    <x v="6"/>
    <n v="4"/>
    <x v="22"/>
  </r>
  <r>
    <x v="289"/>
    <x v="289"/>
    <s v="Suresh Sharma"/>
    <x v="10"/>
    <x v="1"/>
    <x v="1"/>
    <s v="Nagpur"/>
    <x v="0"/>
    <x v="0"/>
    <x v="4"/>
    <d v="2024-11-14T00:00:00"/>
    <x v="7"/>
    <n v="1"/>
    <x v="21"/>
  </r>
  <r>
    <x v="290"/>
    <x v="290"/>
    <s v="Suresh Kumar"/>
    <x v="18"/>
    <x v="1"/>
    <x v="1"/>
    <s v="Pune"/>
    <x v="0"/>
    <x v="3"/>
    <x v="3"/>
    <d v="2024-11-07T00:00:00"/>
    <x v="7"/>
    <n v="5"/>
    <x v="16"/>
  </r>
  <r>
    <x v="291"/>
    <x v="291"/>
    <s v="Manish Iyer"/>
    <x v="47"/>
    <x v="1"/>
    <x v="1"/>
    <s v="Mumbai"/>
    <x v="0"/>
    <x v="5"/>
    <x v="2"/>
    <d v="2025-05-25T00:00:00"/>
    <x v="2"/>
    <n v="1"/>
    <x v="3"/>
  </r>
  <r>
    <x v="292"/>
    <x v="292"/>
    <s v="Rohan Yadav"/>
    <x v="0"/>
    <x v="0"/>
    <x v="1"/>
    <s v="Madurai"/>
    <x v="5"/>
    <x v="0"/>
    <x v="3"/>
    <d v="2025-05-16T00:00:00"/>
    <x v="2"/>
    <n v="4"/>
    <x v="16"/>
  </r>
  <r>
    <x v="293"/>
    <x v="293"/>
    <s v="Priya Sharma"/>
    <x v="40"/>
    <x v="2"/>
    <x v="0"/>
    <s v="Howrah"/>
    <x v="3"/>
    <x v="2"/>
    <x v="0"/>
    <d v="2025-05-26T00:00:00"/>
    <x v="2"/>
    <n v="3"/>
    <x v="2"/>
  </r>
  <r>
    <x v="294"/>
    <x v="294"/>
    <s v="Neha Verma"/>
    <x v="45"/>
    <x v="2"/>
    <x v="0"/>
    <s v="Mysuru"/>
    <x v="1"/>
    <x v="3"/>
    <x v="4"/>
    <d v="2025-07-07T00:00:00"/>
    <x v="11"/>
    <n v="4"/>
    <x v="10"/>
  </r>
  <r>
    <x v="295"/>
    <x v="295"/>
    <s v="Manish Nair"/>
    <x v="1"/>
    <x v="1"/>
    <x v="0"/>
    <s v="New Delhi"/>
    <x v="2"/>
    <x v="0"/>
    <x v="0"/>
    <d v="2025-07-18T00:00:00"/>
    <x v="11"/>
    <n v="2"/>
    <x v="15"/>
  </r>
  <r>
    <x v="296"/>
    <x v="296"/>
    <s v="Kavita Reddy"/>
    <x v="21"/>
    <x v="1"/>
    <x v="0"/>
    <s v="Vadodara"/>
    <x v="6"/>
    <x v="5"/>
    <x v="4"/>
    <d v="2025-07-23T00:00:00"/>
    <x v="11"/>
    <n v="4"/>
    <x v="22"/>
  </r>
  <r>
    <x v="297"/>
    <x v="297"/>
    <s v="Kavita Sharma"/>
    <x v="39"/>
    <x v="1"/>
    <x v="1"/>
    <s v="Nagpur"/>
    <x v="0"/>
    <x v="2"/>
    <x v="1"/>
    <d v="2025-07-01T00:00:00"/>
    <x v="11"/>
    <n v="5"/>
    <x v="8"/>
  </r>
  <r>
    <x v="298"/>
    <x v="298"/>
    <s v="Amit Sharma"/>
    <x v="25"/>
    <x v="0"/>
    <x v="0"/>
    <s v="Mysuru"/>
    <x v="1"/>
    <x v="2"/>
    <x v="4"/>
    <d v="2025-05-21T00:00:00"/>
    <x v="2"/>
    <n v="3"/>
    <x v="2"/>
  </r>
  <r>
    <x v="299"/>
    <x v="299"/>
    <s v="Arjun Iyer"/>
    <x v="37"/>
    <x v="2"/>
    <x v="0"/>
    <s v="Kolkata"/>
    <x v="3"/>
    <x v="2"/>
    <x v="4"/>
    <d v="2025-07-13T00:00:00"/>
    <x v="11"/>
    <n v="5"/>
    <x v="8"/>
  </r>
  <r>
    <x v="300"/>
    <x v="300"/>
    <s v="Amit Gupta"/>
    <x v="32"/>
    <x v="1"/>
    <x v="0"/>
    <s v="Chennai"/>
    <x v="5"/>
    <x v="2"/>
    <x v="4"/>
    <d v="2024-11-30T00:00:00"/>
    <x v="7"/>
    <n v="3"/>
    <x v="2"/>
  </r>
  <r>
    <x v="301"/>
    <x v="301"/>
    <s v="Amit Gupta"/>
    <x v="44"/>
    <x v="1"/>
    <x v="1"/>
    <s v="Pune"/>
    <x v="0"/>
    <x v="0"/>
    <x v="1"/>
    <d v="2025-02-03T00:00:00"/>
    <x v="1"/>
    <n v="2"/>
    <x v="15"/>
  </r>
  <r>
    <x v="302"/>
    <x v="302"/>
    <s v="Kavita Verma"/>
    <x v="13"/>
    <x v="1"/>
    <x v="0"/>
    <s v="Nagpur"/>
    <x v="0"/>
    <x v="2"/>
    <x v="2"/>
    <d v="2025-03-19T00:00:00"/>
    <x v="5"/>
    <n v="5"/>
    <x v="8"/>
  </r>
  <r>
    <x v="303"/>
    <x v="303"/>
    <s v="Vikas Sharma"/>
    <x v="23"/>
    <x v="2"/>
    <x v="0"/>
    <s v="Coimbatore"/>
    <x v="5"/>
    <x v="2"/>
    <x v="1"/>
    <d v="2024-12-24T00:00:00"/>
    <x v="10"/>
    <n v="2"/>
    <x v="7"/>
  </r>
  <r>
    <x v="304"/>
    <x v="304"/>
    <s v="Rohan Verma"/>
    <x v="38"/>
    <x v="2"/>
    <x v="0"/>
    <s v="Ahmedabad"/>
    <x v="6"/>
    <x v="2"/>
    <x v="4"/>
    <d v="2025-02-26T00:00:00"/>
    <x v="1"/>
    <n v="1"/>
    <x v="5"/>
  </r>
  <r>
    <x v="305"/>
    <x v="305"/>
    <s v="Anita Reddy"/>
    <x v="25"/>
    <x v="0"/>
    <x v="1"/>
    <s v="Mumbai"/>
    <x v="0"/>
    <x v="3"/>
    <x v="0"/>
    <d v="2024-10-23T00:00:00"/>
    <x v="0"/>
    <n v="2"/>
    <x v="12"/>
  </r>
  <r>
    <x v="306"/>
    <x v="306"/>
    <s v="Neha Yadav"/>
    <x v="13"/>
    <x v="1"/>
    <x v="1"/>
    <s v="New Delhi"/>
    <x v="2"/>
    <x v="3"/>
    <x v="4"/>
    <d v="2025-02-11T00:00:00"/>
    <x v="1"/>
    <n v="4"/>
    <x v="10"/>
  </r>
  <r>
    <x v="307"/>
    <x v="307"/>
    <s v="Rahul Patel"/>
    <x v="41"/>
    <x v="0"/>
    <x v="1"/>
    <s v="Durgapur"/>
    <x v="3"/>
    <x v="0"/>
    <x v="3"/>
    <d v="2025-09-18T00:00:00"/>
    <x v="6"/>
    <n v="2"/>
    <x v="15"/>
  </r>
  <r>
    <x v="308"/>
    <x v="308"/>
    <s v="Amit Kumar"/>
    <x v="6"/>
    <x v="1"/>
    <x v="0"/>
    <s v="Bengaluru"/>
    <x v="1"/>
    <x v="3"/>
    <x v="2"/>
    <d v="2025-08-16T00:00:00"/>
    <x v="3"/>
    <n v="1"/>
    <x v="19"/>
  </r>
  <r>
    <x v="309"/>
    <x v="309"/>
    <s v="Amit Yadav"/>
    <x v="22"/>
    <x v="1"/>
    <x v="1"/>
    <s v="Kolkata"/>
    <x v="3"/>
    <x v="5"/>
    <x v="0"/>
    <d v="2025-09-18T00:00:00"/>
    <x v="6"/>
    <n v="4"/>
    <x v="22"/>
  </r>
  <r>
    <x v="310"/>
    <x v="310"/>
    <s v="Kavita Iyer"/>
    <x v="4"/>
    <x v="1"/>
    <x v="1"/>
    <s v="Surat"/>
    <x v="6"/>
    <x v="0"/>
    <x v="4"/>
    <d v="2025-08-02T00:00:00"/>
    <x v="3"/>
    <n v="3"/>
    <x v="14"/>
  </r>
  <r>
    <x v="311"/>
    <x v="311"/>
    <s v="Anita Sharma"/>
    <x v="28"/>
    <x v="1"/>
    <x v="1"/>
    <s v="Jaipur"/>
    <x v="4"/>
    <x v="2"/>
    <x v="4"/>
    <d v="2025-06-24T00:00:00"/>
    <x v="8"/>
    <n v="1"/>
    <x v="5"/>
  </r>
  <r>
    <x v="312"/>
    <x v="312"/>
    <s v="Amit Iyer"/>
    <x v="30"/>
    <x v="0"/>
    <x v="0"/>
    <s v="Jodhpur"/>
    <x v="4"/>
    <x v="2"/>
    <x v="1"/>
    <d v="2025-06-22T00:00:00"/>
    <x v="8"/>
    <n v="4"/>
    <x v="4"/>
  </r>
  <r>
    <x v="313"/>
    <x v="313"/>
    <s v="Ritu Iyer"/>
    <x v="34"/>
    <x v="2"/>
    <x v="0"/>
    <s v="Surat"/>
    <x v="6"/>
    <x v="5"/>
    <x v="3"/>
    <d v="2024-12-27T00:00:00"/>
    <x v="10"/>
    <n v="1"/>
    <x v="3"/>
  </r>
  <r>
    <x v="314"/>
    <x v="314"/>
    <s v="Sneha Sharma"/>
    <x v="47"/>
    <x v="1"/>
    <x v="1"/>
    <s v="Kolkata"/>
    <x v="3"/>
    <x v="3"/>
    <x v="0"/>
    <d v="2024-12-29T00:00:00"/>
    <x v="10"/>
    <n v="4"/>
    <x v="10"/>
  </r>
  <r>
    <x v="315"/>
    <x v="315"/>
    <s v="Manish Patel"/>
    <x v="9"/>
    <x v="1"/>
    <x v="0"/>
    <s v="Madurai"/>
    <x v="5"/>
    <x v="5"/>
    <x v="4"/>
    <d v="2024-11-27T00:00:00"/>
    <x v="7"/>
    <n v="3"/>
    <x v="20"/>
  </r>
  <r>
    <x v="316"/>
    <x v="316"/>
    <s v="Rohan Sharma"/>
    <x v="16"/>
    <x v="0"/>
    <x v="0"/>
    <s v="Jodhpur"/>
    <x v="4"/>
    <x v="4"/>
    <x v="2"/>
    <d v="2025-01-21T00:00:00"/>
    <x v="4"/>
    <n v="2"/>
    <x v="5"/>
  </r>
  <r>
    <x v="317"/>
    <x v="317"/>
    <s v="Kavita Sharma"/>
    <x v="37"/>
    <x v="2"/>
    <x v="1"/>
    <s v="Chennai"/>
    <x v="5"/>
    <x v="3"/>
    <x v="4"/>
    <d v="2025-03-20T00:00:00"/>
    <x v="5"/>
    <n v="1"/>
    <x v="19"/>
  </r>
  <r>
    <x v="318"/>
    <x v="318"/>
    <s v="Manish Gupta"/>
    <x v="26"/>
    <x v="2"/>
    <x v="0"/>
    <s v="Mysuru"/>
    <x v="1"/>
    <x v="5"/>
    <x v="1"/>
    <d v="2025-01-18T00:00:00"/>
    <x v="4"/>
    <n v="5"/>
    <x v="5"/>
  </r>
  <r>
    <x v="319"/>
    <x v="319"/>
    <s v="Divya Verma"/>
    <x v="39"/>
    <x v="1"/>
    <x v="1"/>
    <s v="Howrah"/>
    <x v="3"/>
    <x v="2"/>
    <x v="4"/>
    <d v="2025-07-29T00:00:00"/>
    <x v="11"/>
    <n v="4"/>
    <x v="4"/>
  </r>
  <r>
    <x v="320"/>
    <x v="320"/>
    <s v="Rohan Sharma"/>
    <x v="11"/>
    <x v="0"/>
    <x v="1"/>
    <s v="Bengaluru"/>
    <x v="1"/>
    <x v="5"/>
    <x v="2"/>
    <d v="2025-01-27T00:00:00"/>
    <x v="4"/>
    <n v="2"/>
    <x v="17"/>
  </r>
  <r>
    <x v="321"/>
    <x v="321"/>
    <s v="Amit Nair"/>
    <x v="1"/>
    <x v="1"/>
    <x v="1"/>
    <s v="Chennai"/>
    <x v="5"/>
    <x v="3"/>
    <x v="0"/>
    <d v="2024-11-08T00:00:00"/>
    <x v="7"/>
    <n v="2"/>
    <x v="12"/>
  </r>
  <r>
    <x v="322"/>
    <x v="322"/>
    <s v="Ritu Singh"/>
    <x v="32"/>
    <x v="1"/>
    <x v="1"/>
    <s v="Pune"/>
    <x v="0"/>
    <x v="1"/>
    <x v="3"/>
    <d v="2025-10-01T00:00:00"/>
    <x v="0"/>
    <n v="1"/>
    <x v="9"/>
  </r>
  <r>
    <x v="323"/>
    <x v="323"/>
    <s v="Arjun Sharma"/>
    <x v="34"/>
    <x v="2"/>
    <x v="0"/>
    <s v="Jaipur"/>
    <x v="4"/>
    <x v="4"/>
    <x v="1"/>
    <d v="2025-10-18T00:00:00"/>
    <x v="0"/>
    <n v="1"/>
    <x v="6"/>
  </r>
  <r>
    <x v="324"/>
    <x v="324"/>
    <s v="Rahul Kumar"/>
    <x v="22"/>
    <x v="1"/>
    <x v="1"/>
    <s v="Mumbai"/>
    <x v="0"/>
    <x v="0"/>
    <x v="1"/>
    <d v="2025-02-02T00:00:00"/>
    <x v="1"/>
    <n v="4"/>
    <x v="16"/>
  </r>
  <r>
    <x v="325"/>
    <x v="325"/>
    <s v="Rohan Iyer"/>
    <x v="35"/>
    <x v="0"/>
    <x v="0"/>
    <s v="Chennai"/>
    <x v="5"/>
    <x v="5"/>
    <x v="4"/>
    <d v="2025-02-22T00:00:00"/>
    <x v="1"/>
    <n v="4"/>
    <x v="22"/>
  </r>
  <r>
    <x v="326"/>
    <x v="326"/>
    <s v="Manish Singh"/>
    <x v="13"/>
    <x v="1"/>
    <x v="0"/>
    <s v="New Delhi"/>
    <x v="2"/>
    <x v="2"/>
    <x v="1"/>
    <d v="2025-01-17T00:00:00"/>
    <x v="4"/>
    <n v="3"/>
    <x v="2"/>
  </r>
  <r>
    <x v="327"/>
    <x v="327"/>
    <s v="Raj Reddy"/>
    <x v="31"/>
    <x v="0"/>
    <x v="1"/>
    <s v="Mangalore"/>
    <x v="1"/>
    <x v="4"/>
    <x v="0"/>
    <d v="2024-11-14T00:00:00"/>
    <x v="7"/>
    <n v="2"/>
    <x v="5"/>
  </r>
  <r>
    <x v="328"/>
    <x v="328"/>
    <s v="Sneha Nair"/>
    <x v="22"/>
    <x v="1"/>
    <x v="0"/>
    <s v="Bengaluru"/>
    <x v="1"/>
    <x v="2"/>
    <x v="1"/>
    <d v="2025-03-30T00:00:00"/>
    <x v="5"/>
    <n v="3"/>
    <x v="2"/>
  </r>
  <r>
    <x v="329"/>
    <x v="329"/>
    <s v="Vikas Singh"/>
    <x v="4"/>
    <x v="1"/>
    <x v="0"/>
    <s v="Mangalore"/>
    <x v="1"/>
    <x v="5"/>
    <x v="0"/>
    <d v="2025-08-19T00:00:00"/>
    <x v="3"/>
    <n v="2"/>
    <x v="17"/>
  </r>
  <r>
    <x v="330"/>
    <x v="330"/>
    <s v="Neha Reddy"/>
    <x v="13"/>
    <x v="1"/>
    <x v="1"/>
    <s v="Madurai"/>
    <x v="5"/>
    <x v="3"/>
    <x v="2"/>
    <d v="2025-04-07T00:00:00"/>
    <x v="9"/>
    <n v="3"/>
    <x v="3"/>
  </r>
  <r>
    <x v="331"/>
    <x v="331"/>
    <s v="Divya Patel"/>
    <x v="12"/>
    <x v="1"/>
    <x v="0"/>
    <s v="Mumbai"/>
    <x v="0"/>
    <x v="5"/>
    <x v="2"/>
    <d v="2025-06-13T00:00:00"/>
    <x v="8"/>
    <n v="3"/>
    <x v="20"/>
  </r>
  <r>
    <x v="332"/>
    <x v="332"/>
    <s v="Vikas Verma"/>
    <x v="26"/>
    <x v="2"/>
    <x v="0"/>
    <s v="Chennai"/>
    <x v="5"/>
    <x v="3"/>
    <x v="1"/>
    <d v="2025-03-07T00:00:00"/>
    <x v="5"/>
    <n v="2"/>
    <x v="12"/>
  </r>
  <r>
    <x v="333"/>
    <x v="333"/>
    <s v="Sneha Verma"/>
    <x v="16"/>
    <x v="0"/>
    <x v="0"/>
    <s v="Mysuru"/>
    <x v="1"/>
    <x v="3"/>
    <x v="1"/>
    <d v="2025-08-06T00:00:00"/>
    <x v="3"/>
    <n v="3"/>
    <x v="3"/>
  </r>
  <r>
    <x v="334"/>
    <x v="334"/>
    <s v="Kavita Patel"/>
    <x v="34"/>
    <x v="2"/>
    <x v="0"/>
    <s v="New Delhi"/>
    <x v="2"/>
    <x v="0"/>
    <x v="2"/>
    <d v="2025-07-23T00:00:00"/>
    <x v="11"/>
    <n v="5"/>
    <x v="0"/>
  </r>
  <r>
    <x v="335"/>
    <x v="335"/>
    <s v="Kavita Iyer"/>
    <x v="27"/>
    <x v="1"/>
    <x v="0"/>
    <s v="Udaipur"/>
    <x v="4"/>
    <x v="0"/>
    <x v="0"/>
    <d v="2024-12-02T00:00:00"/>
    <x v="10"/>
    <n v="2"/>
    <x v="15"/>
  </r>
  <r>
    <x v="336"/>
    <x v="336"/>
    <s v="Divya Yadav"/>
    <x v="5"/>
    <x v="0"/>
    <x v="1"/>
    <s v="New Delhi"/>
    <x v="2"/>
    <x v="5"/>
    <x v="1"/>
    <d v="2025-06-30T00:00:00"/>
    <x v="8"/>
    <n v="3"/>
    <x v="20"/>
  </r>
  <r>
    <x v="337"/>
    <x v="337"/>
    <s v="Ritu Yadav"/>
    <x v="46"/>
    <x v="2"/>
    <x v="1"/>
    <s v="Jodhpur"/>
    <x v="4"/>
    <x v="5"/>
    <x v="2"/>
    <d v="2025-09-23T00:00:00"/>
    <x v="6"/>
    <n v="1"/>
    <x v="3"/>
  </r>
  <r>
    <x v="338"/>
    <x v="338"/>
    <s v="Rahul Yadav"/>
    <x v="3"/>
    <x v="2"/>
    <x v="1"/>
    <s v="Kolkata"/>
    <x v="3"/>
    <x v="3"/>
    <x v="1"/>
    <d v="2025-06-18T00:00:00"/>
    <x v="8"/>
    <n v="3"/>
    <x v="3"/>
  </r>
  <r>
    <x v="339"/>
    <x v="339"/>
    <s v="Manish Nair"/>
    <x v="20"/>
    <x v="2"/>
    <x v="1"/>
    <s v="Mangalore"/>
    <x v="1"/>
    <x v="4"/>
    <x v="4"/>
    <d v="2025-04-04T00:00:00"/>
    <x v="9"/>
    <n v="2"/>
    <x v="5"/>
  </r>
  <r>
    <x v="340"/>
    <x v="340"/>
    <s v="Kavita Nair"/>
    <x v="25"/>
    <x v="0"/>
    <x v="0"/>
    <s v="Madurai"/>
    <x v="5"/>
    <x v="0"/>
    <x v="4"/>
    <d v="2025-02-22T00:00:00"/>
    <x v="1"/>
    <n v="5"/>
    <x v="0"/>
  </r>
  <r>
    <x v="341"/>
    <x v="341"/>
    <s v="Anita Sharma"/>
    <x v="3"/>
    <x v="2"/>
    <x v="0"/>
    <s v="Ahmedabad"/>
    <x v="6"/>
    <x v="0"/>
    <x v="3"/>
    <d v="2025-04-01T00:00:00"/>
    <x v="9"/>
    <n v="3"/>
    <x v="14"/>
  </r>
  <r>
    <x v="342"/>
    <x v="342"/>
    <s v="Anita Singh"/>
    <x v="28"/>
    <x v="1"/>
    <x v="0"/>
    <s v="Nagpur"/>
    <x v="0"/>
    <x v="4"/>
    <x v="0"/>
    <d v="2025-01-05T00:00:00"/>
    <x v="4"/>
    <n v="3"/>
    <x v="13"/>
  </r>
  <r>
    <x v="343"/>
    <x v="343"/>
    <s v="Amit Patel"/>
    <x v="33"/>
    <x v="0"/>
    <x v="0"/>
    <s v="Chennai"/>
    <x v="5"/>
    <x v="3"/>
    <x v="3"/>
    <d v="2025-04-25T00:00:00"/>
    <x v="9"/>
    <n v="4"/>
    <x v="10"/>
  </r>
  <r>
    <x v="344"/>
    <x v="344"/>
    <s v="Rohan Yadav"/>
    <x v="26"/>
    <x v="2"/>
    <x v="0"/>
    <s v="Coimbatore"/>
    <x v="5"/>
    <x v="5"/>
    <x v="1"/>
    <d v="2025-05-02T00:00:00"/>
    <x v="2"/>
    <n v="5"/>
    <x v="5"/>
  </r>
  <r>
    <x v="345"/>
    <x v="345"/>
    <s v="Priya Gupta"/>
    <x v="45"/>
    <x v="2"/>
    <x v="0"/>
    <s v="Jodhpur"/>
    <x v="4"/>
    <x v="0"/>
    <x v="1"/>
    <d v="2025-05-25T00:00:00"/>
    <x v="2"/>
    <n v="2"/>
    <x v="15"/>
  </r>
  <r>
    <x v="346"/>
    <x v="346"/>
    <s v="Suresh Yadav"/>
    <x v="33"/>
    <x v="0"/>
    <x v="1"/>
    <s v="Coimbatore"/>
    <x v="5"/>
    <x v="3"/>
    <x v="2"/>
    <d v="2025-05-08T00:00:00"/>
    <x v="2"/>
    <n v="2"/>
    <x v="12"/>
  </r>
  <r>
    <x v="347"/>
    <x v="347"/>
    <s v="Neha Kumar"/>
    <x v="39"/>
    <x v="1"/>
    <x v="1"/>
    <s v="New Delhi"/>
    <x v="2"/>
    <x v="5"/>
    <x v="1"/>
    <d v="2025-02-16T00:00:00"/>
    <x v="1"/>
    <n v="4"/>
    <x v="22"/>
  </r>
  <r>
    <x v="348"/>
    <x v="348"/>
    <s v="Suresh Patel"/>
    <x v="11"/>
    <x v="0"/>
    <x v="0"/>
    <s v="Surat"/>
    <x v="6"/>
    <x v="1"/>
    <x v="3"/>
    <d v="2025-04-12T00:00:00"/>
    <x v="9"/>
    <n v="3"/>
    <x v="11"/>
  </r>
  <r>
    <x v="349"/>
    <x v="349"/>
    <s v="Anita Iyer"/>
    <x v="16"/>
    <x v="0"/>
    <x v="0"/>
    <s v="Jaipur"/>
    <x v="4"/>
    <x v="4"/>
    <x v="1"/>
    <d v="2025-06-22T00:00:00"/>
    <x v="8"/>
    <n v="2"/>
    <x v="5"/>
  </r>
  <r>
    <x v="350"/>
    <x v="350"/>
    <s v="Arjun Reddy"/>
    <x v="4"/>
    <x v="1"/>
    <x v="1"/>
    <s v="Mangalore"/>
    <x v="1"/>
    <x v="5"/>
    <x v="0"/>
    <d v="2025-05-03T00:00:00"/>
    <x v="2"/>
    <n v="3"/>
    <x v="20"/>
  </r>
  <r>
    <x v="351"/>
    <x v="351"/>
    <s v="Amit Patel"/>
    <x v="47"/>
    <x v="1"/>
    <x v="0"/>
    <s v="Mysuru"/>
    <x v="1"/>
    <x v="3"/>
    <x v="0"/>
    <d v="2025-04-12T00:00:00"/>
    <x v="9"/>
    <n v="1"/>
    <x v="19"/>
  </r>
  <r>
    <x v="352"/>
    <x v="352"/>
    <s v="Divya Patel"/>
    <x v="45"/>
    <x v="2"/>
    <x v="0"/>
    <s v="Ahmedabad"/>
    <x v="6"/>
    <x v="4"/>
    <x v="2"/>
    <d v="2025-05-16T00:00:00"/>
    <x v="2"/>
    <n v="1"/>
    <x v="6"/>
  </r>
  <r>
    <x v="353"/>
    <x v="353"/>
    <s v="Manish Sharma"/>
    <x v="41"/>
    <x v="0"/>
    <x v="0"/>
    <s v="Durgapur"/>
    <x v="3"/>
    <x v="5"/>
    <x v="2"/>
    <d v="2025-01-26T00:00:00"/>
    <x v="4"/>
    <n v="2"/>
    <x v="17"/>
  </r>
  <r>
    <x v="354"/>
    <x v="354"/>
    <s v="Divya Reddy"/>
    <x v="46"/>
    <x v="2"/>
    <x v="1"/>
    <s v="New Delhi"/>
    <x v="2"/>
    <x v="3"/>
    <x v="2"/>
    <d v="2025-04-21T00:00:00"/>
    <x v="9"/>
    <n v="1"/>
    <x v="19"/>
  </r>
  <r>
    <x v="355"/>
    <x v="355"/>
    <s v="Amit Singh"/>
    <x v="6"/>
    <x v="1"/>
    <x v="0"/>
    <s v="Bengaluru"/>
    <x v="1"/>
    <x v="3"/>
    <x v="4"/>
    <d v="2025-01-22T00:00:00"/>
    <x v="4"/>
    <n v="1"/>
    <x v="19"/>
  </r>
  <r>
    <x v="356"/>
    <x v="356"/>
    <s v="Sneha Reddy"/>
    <x v="38"/>
    <x v="2"/>
    <x v="0"/>
    <s v="New Delhi"/>
    <x v="2"/>
    <x v="4"/>
    <x v="2"/>
    <d v="2025-05-14T00:00:00"/>
    <x v="2"/>
    <n v="1"/>
    <x v="6"/>
  </r>
  <r>
    <x v="357"/>
    <x v="357"/>
    <s v="Vikas Sharma"/>
    <x v="35"/>
    <x v="0"/>
    <x v="1"/>
    <s v="New Delhi"/>
    <x v="2"/>
    <x v="1"/>
    <x v="2"/>
    <d v="2025-01-03T00:00:00"/>
    <x v="4"/>
    <n v="5"/>
    <x v="1"/>
  </r>
  <r>
    <x v="358"/>
    <x v="358"/>
    <s v="Arjun Reddy"/>
    <x v="20"/>
    <x v="2"/>
    <x v="1"/>
    <s v="Pune"/>
    <x v="0"/>
    <x v="1"/>
    <x v="1"/>
    <d v="2025-07-07T00:00:00"/>
    <x v="11"/>
    <n v="2"/>
    <x v="23"/>
  </r>
  <r>
    <x v="359"/>
    <x v="359"/>
    <s v="Rahul Gupta"/>
    <x v="30"/>
    <x v="0"/>
    <x v="0"/>
    <s v="Nagpur"/>
    <x v="0"/>
    <x v="4"/>
    <x v="4"/>
    <d v="2025-03-04T00:00:00"/>
    <x v="5"/>
    <n v="3"/>
    <x v="13"/>
  </r>
  <r>
    <x v="360"/>
    <x v="360"/>
    <s v="Rahul Kumar"/>
    <x v="27"/>
    <x v="1"/>
    <x v="1"/>
    <s v="Coimbatore"/>
    <x v="5"/>
    <x v="2"/>
    <x v="0"/>
    <d v="2025-03-08T00:00:00"/>
    <x v="5"/>
    <n v="2"/>
    <x v="7"/>
  </r>
  <r>
    <x v="361"/>
    <x v="361"/>
    <s v="Suresh Iyer"/>
    <x v="39"/>
    <x v="1"/>
    <x v="1"/>
    <s v="Bengaluru"/>
    <x v="1"/>
    <x v="4"/>
    <x v="2"/>
    <d v="2025-02-16T00:00:00"/>
    <x v="1"/>
    <n v="4"/>
    <x v="7"/>
  </r>
  <r>
    <x v="362"/>
    <x v="362"/>
    <s v="Divya Verma"/>
    <x v="44"/>
    <x v="1"/>
    <x v="1"/>
    <s v="Howrah"/>
    <x v="3"/>
    <x v="1"/>
    <x v="3"/>
    <d v="2025-03-02T00:00:00"/>
    <x v="5"/>
    <n v="1"/>
    <x v="9"/>
  </r>
  <r>
    <x v="363"/>
    <x v="363"/>
    <s v="Rahul Iyer"/>
    <x v="32"/>
    <x v="1"/>
    <x v="0"/>
    <s v="Jodhpur"/>
    <x v="4"/>
    <x v="2"/>
    <x v="1"/>
    <d v="2025-04-06T00:00:00"/>
    <x v="9"/>
    <n v="3"/>
    <x v="2"/>
  </r>
  <r>
    <x v="364"/>
    <x v="364"/>
    <s v="Suresh Reddy"/>
    <x v="34"/>
    <x v="2"/>
    <x v="1"/>
    <s v="Udaipur"/>
    <x v="4"/>
    <x v="4"/>
    <x v="4"/>
    <d v="2025-05-19T00:00:00"/>
    <x v="2"/>
    <n v="5"/>
    <x v="18"/>
  </r>
  <r>
    <x v="365"/>
    <x v="365"/>
    <s v="Amit Reddy"/>
    <x v="39"/>
    <x v="1"/>
    <x v="0"/>
    <s v="Kolkata"/>
    <x v="3"/>
    <x v="2"/>
    <x v="3"/>
    <d v="2025-07-23T00:00:00"/>
    <x v="11"/>
    <n v="4"/>
    <x v="4"/>
  </r>
  <r>
    <x v="366"/>
    <x v="366"/>
    <s v="Manish Sharma"/>
    <x v="39"/>
    <x v="1"/>
    <x v="0"/>
    <s v="Mysuru"/>
    <x v="1"/>
    <x v="1"/>
    <x v="4"/>
    <d v="2025-02-23T00:00:00"/>
    <x v="1"/>
    <n v="1"/>
    <x v="9"/>
  </r>
  <r>
    <x v="367"/>
    <x v="367"/>
    <s v="Rohan Iyer"/>
    <x v="13"/>
    <x v="1"/>
    <x v="0"/>
    <s v="Howrah"/>
    <x v="3"/>
    <x v="2"/>
    <x v="0"/>
    <d v="2025-09-29T00:00:00"/>
    <x v="6"/>
    <n v="3"/>
    <x v="2"/>
  </r>
  <r>
    <x v="368"/>
    <x v="368"/>
    <s v="Amit Reddy"/>
    <x v="43"/>
    <x v="2"/>
    <x v="0"/>
    <s v="Pune"/>
    <x v="0"/>
    <x v="2"/>
    <x v="3"/>
    <d v="2025-09-01T00:00:00"/>
    <x v="6"/>
    <n v="3"/>
    <x v="2"/>
  </r>
  <r>
    <x v="369"/>
    <x v="369"/>
    <s v="Rohan Reddy"/>
    <x v="5"/>
    <x v="0"/>
    <x v="0"/>
    <s v="Chennai"/>
    <x v="5"/>
    <x v="3"/>
    <x v="3"/>
    <d v="2025-10-17T00:00:00"/>
    <x v="0"/>
    <n v="5"/>
    <x v="16"/>
  </r>
  <r>
    <x v="370"/>
    <x v="370"/>
    <s v="Sneha Kumar"/>
    <x v="47"/>
    <x v="1"/>
    <x v="1"/>
    <s v="New Delhi"/>
    <x v="2"/>
    <x v="2"/>
    <x v="2"/>
    <d v="2025-05-30T00:00:00"/>
    <x v="2"/>
    <n v="3"/>
    <x v="2"/>
  </r>
  <r>
    <x v="371"/>
    <x v="371"/>
    <s v="Arjun Reddy"/>
    <x v="39"/>
    <x v="1"/>
    <x v="1"/>
    <s v="Mangalore"/>
    <x v="1"/>
    <x v="1"/>
    <x v="1"/>
    <d v="2024-12-02T00:00:00"/>
    <x v="10"/>
    <n v="4"/>
    <x v="24"/>
  </r>
  <r>
    <x v="372"/>
    <x v="372"/>
    <s v="Kavita Sharma"/>
    <x v="1"/>
    <x v="1"/>
    <x v="0"/>
    <s v="Surat"/>
    <x v="6"/>
    <x v="2"/>
    <x v="3"/>
    <d v="2025-06-03T00:00:00"/>
    <x v="8"/>
    <n v="2"/>
    <x v="7"/>
  </r>
  <r>
    <x v="373"/>
    <x v="373"/>
    <s v="Rohan Patel"/>
    <x v="10"/>
    <x v="1"/>
    <x v="0"/>
    <s v="Udaipur"/>
    <x v="4"/>
    <x v="4"/>
    <x v="4"/>
    <d v="2025-07-12T00:00:00"/>
    <x v="11"/>
    <n v="4"/>
    <x v="7"/>
  </r>
  <r>
    <x v="374"/>
    <x v="374"/>
    <s v="Manish Reddy"/>
    <x v="3"/>
    <x v="2"/>
    <x v="1"/>
    <s v="New Delhi"/>
    <x v="2"/>
    <x v="3"/>
    <x v="2"/>
    <d v="2025-04-22T00:00:00"/>
    <x v="9"/>
    <n v="3"/>
    <x v="3"/>
  </r>
  <r>
    <x v="375"/>
    <x v="375"/>
    <s v="Sneha Yadav"/>
    <x v="10"/>
    <x v="1"/>
    <x v="0"/>
    <s v="Ahmedabad"/>
    <x v="6"/>
    <x v="3"/>
    <x v="0"/>
    <d v="2025-06-10T00:00:00"/>
    <x v="8"/>
    <n v="1"/>
    <x v="19"/>
  </r>
  <r>
    <x v="376"/>
    <x v="376"/>
    <s v="Amit Yadav"/>
    <x v="36"/>
    <x v="2"/>
    <x v="1"/>
    <s v="New Delhi"/>
    <x v="2"/>
    <x v="2"/>
    <x v="2"/>
    <d v="2025-02-18T00:00:00"/>
    <x v="1"/>
    <n v="5"/>
    <x v="8"/>
  </r>
  <r>
    <x v="377"/>
    <x v="377"/>
    <s v="Arjun Nair"/>
    <x v="26"/>
    <x v="2"/>
    <x v="1"/>
    <s v="Durgapur"/>
    <x v="3"/>
    <x v="3"/>
    <x v="1"/>
    <d v="2024-11-08T00:00:00"/>
    <x v="7"/>
    <n v="1"/>
    <x v="19"/>
  </r>
  <r>
    <x v="378"/>
    <x v="378"/>
    <s v="Priya Kumar"/>
    <x v="37"/>
    <x v="2"/>
    <x v="0"/>
    <s v="New Delhi"/>
    <x v="2"/>
    <x v="2"/>
    <x v="3"/>
    <d v="2025-09-21T00:00:00"/>
    <x v="6"/>
    <n v="2"/>
    <x v="7"/>
  </r>
  <r>
    <x v="379"/>
    <x v="379"/>
    <s v="Priya Reddy"/>
    <x v="32"/>
    <x v="1"/>
    <x v="1"/>
    <s v="Kolkata"/>
    <x v="3"/>
    <x v="5"/>
    <x v="4"/>
    <d v="2025-04-30T00:00:00"/>
    <x v="9"/>
    <n v="4"/>
    <x v="22"/>
  </r>
  <r>
    <x v="380"/>
    <x v="380"/>
    <s v="Rohan Kumar"/>
    <x v="1"/>
    <x v="1"/>
    <x v="1"/>
    <s v="Jodhpur"/>
    <x v="4"/>
    <x v="4"/>
    <x v="1"/>
    <d v="2025-06-01T00:00:00"/>
    <x v="8"/>
    <n v="3"/>
    <x v="13"/>
  </r>
  <r>
    <x v="381"/>
    <x v="381"/>
    <s v="Vikas Nair"/>
    <x v="14"/>
    <x v="1"/>
    <x v="0"/>
    <s v="Bengaluru"/>
    <x v="1"/>
    <x v="1"/>
    <x v="4"/>
    <d v="2025-05-14T00:00:00"/>
    <x v="2"/>
    <n v="5"/>
    <x v="1"/>
  </r>
  <r>
    <x v="382"/>
    <x v="382"/>
    <s v="Anita Patel"/>
    <x v="42"/>
    <x v="0"/>
    <x v="1"/>
    <s v="Bengaluru"/>
    <x v="1"/>
    <x v="3"/>
    <x v="2"/>
    <d v="2025-08-01T00:00:00"/>
    <x v="3"/>
    <n v="1"/>
    <x v="19"/>
  </r>
  <r>
    <x v="383"/>
    <x v="383"/>
    <s v="Manish Iyer"/>
    <x v="7"/>
    <x v="1"/>
    <x v="1"/>
    <s v="Surat"/>
    <x v="6"/>
    <x v="2"/>
    <x v="4"/>
    <d v="2024-12-30T00:00:00"/>
    <x v="10"/>
    <n v="2"/>
    <x v="7"/>
  </r>
  <r>
    <x v="384"/>
    <x v="384"/>
    <s v="Manish Reddy"/>
    <x v="35"/>
    <x v="0"/>
    <x v="1"/>
    <s v="New Delhi"/>
    <x v="2"/>
    <x v="2"/>
    <x v="3"/>
    <d v="2024-11-04T00:00:00"/>
    <x v="7"/>
    <n v="3"/>
    <x v="2"/>
  </r>
  <r>
    <x v="385"/>
    <x v="385"/>
    <s v="Raj Reddy"/>
    <x v="34"/>
    <x v="2"/>
    <x v="1"/>
    <s v="Mangalore"/>
    <x v="1"/>
    <x v="2"/>
    <x v="4"/>
    <d v="2025-06-20T00:00:00"/>
    <x v="8"/>
    <n v="2"/>
    <x v="7"/>
  </r>
  <r>
    <x v="386"/>
    <x v="386"/>
    <s v="Rohan Sharma"/>
    <x v="9"/>
    <x v="1"/>
    <x v="1"/>
    <s v="Mysuru"/>
    <x v="1"/>
    <x v="2"/>
    <x v="2"/>
    <d v="2025-03-30T00:00:00"/>
    <x v="5"/>
    <n v="3"/>
    <x v="2"/>
  </r>
  <r>
    <x v="387"/>
    <x v="387"/>
    <s v="Priya Verma"/>
    <x v="8"/>
    <x v="2"/>
    <x v="0"/>
    <s v="Madurai"/>
    <x v="5"/>
    <x v="0"/>
    <x v="1"/>
    <d v="2025-07-26T00:00:00"/>
    <x v="11"/>
    <n v="2"/>
    <x v="15"/>
  </r>
  <r>
    <x v="388"/>
    <x v="388"/>
    <s v="Amit Nair"/>
    <x v="28"/>
    <x v="1"/>
    <x v="0"/>
    <s v="Bengaluru"/>
    <x v="1"/>
    <x v="0"/>
    <x v="4"/>
    <d v="2024-11-13T00:00:00"/>
    <x v="7"/>
    <n v="3"/>
    <x v="14"/>
  </r>
  <r>
    <x v="389"/>
    <x v="389"/>
    <s v="Rahul Reddy"/>
    <x v="25"/>
    <x v="0"/>
    <x v="0"/>
    <s v="New Delhi"/>
    <x v="2"/>
    <x v="0"/>
    <x v="2"/>
    <d v="2025-01-13T00:00:00"/>
    <x v="4"/>
    <n v="3"/>
    <x v="14"/>
  </r>
  <r>
    <x v="390"/>
    <x v="390"/>
    <s v="Neha Verma"/>
    <x v="18"/>
    <x v="1"/>
    <x v="1"/>
    <s v="Pune"/>
    <x v="0"/>
    <x v="0"/>
    <x v="2"/>
    <d v="2024-12-11T00:00:00"/>
    <x v="10"/>
    <n v="5"/>
    <x v="0"/>
  </r>
  <r>
    <x v="391"/>
    <x v="391"/>
    <s v="Vikas Sharma"/>
    <x v="23"/>
    <x v="2"/>
    <x v="0"/>
    <s v="Coimbatore"/>
    <x v="5"/>
    <x v="3"/>
    <x v="3"/>
    <d v="2025-07-05T00:00:00"/>
    <x v="11"/>
    <n v="4"/>
    <x v="10"/>
  </r>
  <r>
    <x v="392"/>
    <x v="392"/>
    <s v="Anita Sharma"/>
    <x v="40"/>
    <x v="2"/>
    <x v="0"/>
    <s v="Mumbai"/>
    <x v="0"/>
    <x v="0"/>
    <x v="2"/>
    <d v="2025-01-04T00:00:00"/>
    <x v="4"/>
    <n v="3"/>
    <x v="14"/>
  </r>
  <r>
    <x v="393"/>
    <x v="393"/>
    <s v="Anita Reddy"/>
    <x v="13"/>
    <x v="1"/>
    <x v="0"/>
    <s v="Madurai"/>
    <x v="5"/>
    <x v="4"/>
    <x v="1"/>
    <d v="2025-03-24T00:00:00"/>
    <x v="5"/>
    <n v="5"/>
    <x v="18"/>
  </r>
  <r>
    <x v="394"/>
    <x v="394"/>
    <s v="Amit Reddy"/>
    <x v="19"/>
    <x v="0"/>
    <x v="1"/>
    <s v="Jaipur"/>
    <x v="4"/>
    <x v="4"/>
    <x v="4"/>
    <d v="2025-05-14T00:00:00"/>
    <x v="2"/>
    <n v="4"/>
    <x v="7"/>
  </r>
  <r>
    <x v="395"/>
    <x v="395"/>
    <s v="Raj Gupta"/>
    <x v="43"/>
    <x v="2"/>
    <x v="1"/>
    <s v="Durgapur"/>
    <x v="3"/>
    <x v="0"/>
    <x v="1"/>
    <d v="2025-06-08T00:00:00"/>
    <x v="8"/>
    <n v="5"/>
    <x v="0"/>
  </r>
  <r>
    <x v="396"/>
    <x v="396"/>
    <s v="Raj Singh"/>
    <x v="25"/>
    <x v="0"/>
    <x v="1"/>
    <s v="Udaipur"/>
    <x v="4"/>
    <x v="3"/>
    <x v="1"/>
    <d v="2024-12-19T00:00:00"/>
    <x v="10"/>
    <n v="3"/>
    <x v="3"/>
  </r>
  <r>
    <x v="397"/>
    <x v="397"/>
    <s v="Priya Singh"/>
    <x v="30"/>
    <x v="0"/>
    <x v="1"/>
    <s v="Jaipur"/>
    <x v="4"/>
    <x v="3"/>
    <x v="0"/>
    <d v="2025-02-27T00:00:00"/>
    <x v="1"/>
    <n v="1"/>
    <x v="19"/>
  </r>
  <r>
    <x v="398"/>
    <x v="398"/>
    <s v="Priya Singh"/>
    <x v="37"/>
    <x v="2"/>
    <x v="1"/>
    <s v="Kolkata"/>
    <x v="3"/>
    <x v="5"/>
    <x v="3"/>
    <d v="2025-03-20T00:00:00"/>
    <x v="5"/>
    <n v="5"/>
    <x v="5"/>
  </r>
  <r>
    <x v="399"/>
    <x v="399"/>
    <s v="Raj Yadav"/>
    <x v="13"/>
    <x v="1"/>
    <x v="1"/>
    <s v="Chennai"/>
    <x v="5"/>
    <x v="2"/>
    <x v="2"/>
    <d v="2025-09-14T00:00:00"/>
    <x v="6"/>
    <n v="3"/>
    <x v="2"/>
  </r>
  <r>
    <x v="400"/>
    <x v="400"/>
    <s v="Neha Verma"/>
    <x v="44"/>
    <x v="1"/>
    <x v="1"/>
    <s v="Mangalore"/>
    <x v="1"/>
    <x v="0"/>
    <x v="0"/>
    <d v="2025-01-04T00:00:00"/>
    <x v="4"/>
    <n v="4"/>
    <x v="16"/>
  </r>
  <r>
    <x v="401"/>
    <x v="401"/>
    <s v="Raj Patel"/>
    <x v="44"/>
    <x v="1"/>
    <x v="0"/>
    <s v="Coimbatore"/>
    <x v="5"/>
    <x v="2"/>
    <x v="2"/>
    <d v="2024-12-03T00:00:00"/>
    <x v="10"/>
    <n v="5"/>
    <x v="8"/>
  </r>
  <r>
    <x v="402"/>
    <x v="402"/>
    <s v="Vikas Singh"/>
    <x v="37"/>
    <x v="2"/>
    <x v="1"/>
    <s v="Jaipur"/>
    <x v="4"/>
    <x v="1"/>
    <x v="3"/>
    <d v="2025-04-21T00:00:00"/>
    <x v="9"/>
    <n v="5"/>
    <x v="1"/>
  </r>
  <r>
    <x v="403"/>
    <x v="403"/>
    <s v="Kavita Reddy"/>
    <x v="14"/>
    <x v="1"/>
    <x v="1"/>
    <s v="Surat"/>
    <x v="6"/>
    <x v="4"/>
    <x v="2"/>
    <d v="2024-11-10T00:00:00"/>
    <x v="7"/>
    <n v="4"/>
    <x v="7"/>
  </r>
  <r>
    <x v="404"/>
    <x v="404"/>
    <s v="Manish Nair"/>
    <x v="30"/>
    <x v="0"/>
    <x v="1"/>
    <s v="Bengaluru"/>
    <x v="1"/>
    <x v="5"/>
    <x v="4"/>
    <d v="2025-02-13T00:00:00"/>
    <x v="1"/>
    <n v="2"/>
    <x v="17"/>
  </r>
  <r>
    <x v="405"/>
    <x v="405"/>
    <s v="Ritu Verma"/>
    <x v="39"/>
    <x v="1"/>
    <x v="0"/>
    <s v="Coimbatore"/>
    <x v="5"/>
    <x v="4"/>
    <x v="0"/>
    <d v="2025-04-23T00:00:00"/>
    <x v="9"/>
    <n v="3"/>
    <x v="13"/>
  </r>
  <r>
    <x v="406"/>
    <x v="406"/>
    <s v="Rohan Sharma"/>
    <x v="25"/>
    <x v="0"/>
    <x v="0"/>
    <s v="Bengaluru"/>
    <x v="1"/>
    <x v="2"/>
    <x v="4"/>
    <d v="2025-07-01T00:00:00"/>
    <x v="11"/>
    <n v="4"/>
    <x v="4"/>
  </r>
  <r>
    <x v="407"/>
    <x v="407"/>
    <s v="Arjun Singh"/>
    <x v="9"/>
    <x v="1"/>
    <x v="1"/>
    <s v="Mysuru"/>
    <x v="1"/>
    <x v="5"/>
    <x v="4"/>
    <d v="2025-01-01T00:00:00"/>
    <x v="4"/>
    <n v="5"/>
    <x v="5"/>
  </r>
  <r>
    <x v="408"/>
    <x v="408"/>
    <s v="Sneha Iyer"/>
    <x v="4"/>
    <x v="1"/>
    <x v="1"/>
    <s v="Kolkata"/>
    <x v="3"/>
    <x v="5"/>
    <x v="3"/>
    <d v="2025-02-14T00:00:00"/>
    <x v="1"/>
    <n v="4"/>
    <x v="22"/>
  </r>
  <r>
    <x v="409"/>
    <x v="409"/>
    <s v="Priya Verma"/>
    <x v="16"/>
    <x v="0"/>
    <x v="0"/>
    <s v="Ahmedabad"/>
    <x v="6"/>
    <x v="3"/>
    <x v="2"/>
    <d v="2025-05-10T00:00:00"/>
    <x v="2"/>
    <n v="1"/>
    <x v="19"/>
  </r>
  <r>
    <x v="410"/>
    <x v="410"/>
    <s v="Rohan Patel"/>
    <x v="0"/>
    <x v="0"/>
    <x v="1"/>
    <s v="Pune"/>
    <x v="0"/>
    <x v="2"/>
    <x v="0"/>
    <d v="2025-08-25T00:00:00"/>
    <x v="3"/>
    <n v="4"/>
    <x v="4"/>
  </r>
  <r>
    <x v="411"/>
    <x v="411"/>
    <s v="Manish Patel"/>
    <x v="36"/>
    <x v="2"/>
    <x v="0"/>
    <s v="Udaipur"/>
    <x v="4"/>
    <x v="4"/>
    <x v="1"/>
    <d v="2025-05-21T00:00:00"/>
    <x v="2"/>
    <n v="3"/>
    <x v="13"/>
  </r>
  <r>
    <x v="412"/>
    <x v="412"/>
    <s v="Neha Iyer"/>
    <x v="11"/>
    <x v="0"/>
    <x v="1"/>
    <s v="Ahmedabad"/>
    <x v="6"/>
    <x v="0"/>
    <x v="1"/>
    <d v="2025-06-19T00:00:00"/>
    <x v="8"/>
    <n v="5"/>
    <x v="0"/>
  </r>
  <r>
    <x v="413"/>
    <x v="413"/>
    <s v="Manish Singh"/>
    <x v="24"/>
    <x v="2"/>
    <x v="1"/>
    <s v="Coimbatore"/>
    <x v="5"/>
    <x v="4"/>
    <x v="2"/>
    <d v="2024-11-25T00:00:00"/>
    <x v="7"/>
    <n v="2"/>
    <x v="5"/>
  </r>
  <r>
    <x v="414"/>
    <x v="414"/>
    <s v="Raj Sharma"/>
    <x v="25"/>
    <x v="0"/>
    <x v="0"/>
    <s v="New Delhi"/>
    <x v="2"/>
    <x v="3"/>
    <x v="2"/>
    <d v="2024-12-30T00:00:00"/>
    <x v="10"/>
    <n v="4"/>
    <x v="10"/>
  </r>
  <r>
    <x v="415"/>
    <x v="415"/>
    <s v="Manish Sharma"/>
    <x v="13"/>
    <x v="1"/>
    <x v="1"/>
    <s v="Kolkata"/>
    <x v="3"/>
    <x v="3"/>
    <x v="2"/>
    <d v="2024-12-29T00:00:00"/>
    <x v="10"/>
    <n v="4"/>
    <x v="10"/>
  </r>
  <r>
    <x v="416"/>
    <x v="416"/>
    <s v="Arjun Nair"/>
    <x v="39"/>
    <x v="1"/>
    <x v="1"/>
    <s v="Madurai"/>
    <x v="5"/>
    <x v="0"/>
    <x v="0"/>
    <d v="2025-01-15T00:00:00"/>
    <x v="4"/>
    <n v="1"/>
    <x v="21"/>
  </r>
  <r>
    <x v="417"/>
    <x v="417"/>
    <s v="Vikas Kumar"/>
    <x v="10"/>
    <x v="1"/>
    <x v="1"/>
    <s v="Jaipur"/>
    <x v="4"/>
    <x v="0"/>
    <x v="2"/>
    <d v="2025-04-09T00:00:00"/>
    <x v="9"/>
    <n v="4"/>
    <x v="16"/>
  </r>
  <r>
    <x v="418"/>
    <x v="418"/>
    <s v="Ritu Verma"/>
    <x v="11"/>
    <x v="0"/>
    <x v="0"/>
    <s v="Kolkata"/>
    <x v="3"/>
    <x v="2"/>
    <x v="1"/>
    <d v="2025-09-24T00:00:00"/>
    <x v="6"/>
    <n v="3"/>
    <x v="2"/>
  </r>
  <r>
    <x v="419"/>
    <x v="419"/>
    <s v="Neha Nair"/>
    <x v="34"/>
    <x v="2"/>
    <x v="1"/>
    <s v="New Delhi"/>
    <x v="2"/>
    <x v="2"/>
    <x v="1"/>
    <d v="2025-09-25T00:00:00"/>
    <x v="6"/>
    <n v="3"/>
    <x v="2"/>
  </r>
  <r>
    <x v="420"/>
    <x v="420"/>
    <s v="Priya Yadav"/>
    <x v="28"/>
    <x v="1"/>
    <x v="0"/>
    <s v="New Delhi"/>
    <x v="2"/>
    <x v="1"/>
    <x v="4"/>
    <d v="2025-10-16T00:00:00"/>
    <x v="0"/>
    <n v="5"/>
    <x v="1"/>
  </r>
  <r>
    <x v="421"/>
    <x v="421"/>
    <s v="Sneha Kumar"/>
    <x v="21"/>
    <x v="1"/>
    <x v="1"/>
    <s v="New Delhi"/>
    <x v="2"/>
    <x v="1"/>
    <x v="4"/>
    <d v="2025-06-28T00:00:00"/>
    <x v="8"/>
    <n v="3"/>
    <x v="11"/>
  </r>
  <r>
    <x v="422"/>
    <x v="422"/>
    <s v="Kavita Nair"/>
    <x v="34"/>
    <x v="2"/>
    <x v="0"/>
    <s v="Pune"/>
    <x v="0"/>
    <x v="4"/>
    <x v="3"/>
    <d v="2025-02-13T00:00:00"/>
    <x v="1"/>
    <n v="2"/>
    <x v="5"/>
  </r>
  <r>
    <x v="423"/>
    <x v="423"/>
    <s v="Amit Patel"/>
    <x v="2"/>
    <x v="1"/>
    <x v="0"/>
    <s v="Durgapur"/>
    <x v="3"/>
    <x v="2"/>
    <x v="2"/>
    <d v="2025-06-03T00:00:00"/>
    <x v="8"/>
    <n v="5"/>
    <x v="8"/>
  </r>
  <r>
    <x v="424"/>
    <x v="424"/>
    <s v="Rohan Singh"/>
    <x v="45"/>
    <x v="2"/>
    <x v="0"/>
    <s v="Nagpur"/>
    <x v="0"/>
    <x v="1"/>
    <x v="3"/>
    <d v="2025-05-30T00:00:00"/>
    <x v="2"/>
    <n v="3"/>
    <x v="11"/>
  </r>
  <r>
    <x v="425"/>
    <x v="425"/>
    <s v="Anita Reddy"/>
    <x v="37"/>
    <x v="2"/>
    <x v="1"/>
    <s v="Vadodara"/>
    <x v="6"/>
    <x v="3"/>
    <x v="2"/>
    <d v="2025-10-08T00:00:00"/>
    <x v="0"/>
    <n v="2"/>
    <x v="12"/>
  </r>
  <r>
    <x v="426"/>
    <x v="426"/>
    <s v="Rohan Reddy"/>
    <x v="39"/>
    <x v="1"/>
    <x v="0"/>
    <s v="Howrah"/>
    <x v="3"/>
    <x v="1"/>
    <x v="1"/>
    <d v="2025-01-02T00:00:00"/>
    <x v="4"/>
    <n v="1"/>
    <x v="9"/>
  </r>
  <r>
    <x v="427"/>
    <x v="427"/>
    <s v="Neha Nair"/>
    <x v="25"/>
    <x v="0"/>
    <x v="0"/>
    <s v="New Delhi"/>
    <x v="2"/>
    <x v="3"/>
    <x v="0"/>
    <d v="2025-06-27T00:00:00"/>
    <x v="8"/>
    <n v="1"/>
    <x v="19"/>
  </r>
  <r>
    <x v="428"/>
    <x v="428"/>
    <s v="Priya Nair"/>
    <x v="41"/>
    <x v="0"/>
    <x v="1"/>
    <s v="Kolkata"/>
    <x v="3"/>
    <x v="4"/>
    <x v="2"/>
    <d v="2025-08-09T00:00:00"/>
    <x v="3"/>
    <n v="5"/>
    <x v="18"/>
  </r>
  <r>
    <x v="429"/>
    <x v="429"/>
    <s v="Divya Iyer"/>
    <x v="15"/>
    <x v="1"/>
    <x v="1"/>
    <s v="New Delhi"/>
    <x v="2"/>
    <x v="2"/>
    <x v="3"/>
    <d v="2025-02-12T00:00:00"/>
    <x v="1"/>
    <n v="2"/>
    <x v="7"/>
  </r>
  <r>
    <x v="430"/>
    <x v="430"/>
    <s v="Vikas Singh"/>
    <x v="24"/>
    <x v="2"/>
    <x v="1"/>
    <s v="Ahmedabad"/>
    <x v="6"/>
    <x v="4"/>
    <x v="4"/>
    <d v="2025-10-02T00:00:00"/>
    <x v="0"/>
    <n v="3"/>
    <x v="13"/>
  </r>
  <r>
    <x v="431"/>
    <x v="431"/>
    <s v="Amit Kumar"/>
    <x v="28"/>
    <x v="1"/>
    <x v="0"/>
    <s v="New Delhi"/>
    <x v="2"/>
    <x v="3"/>
    <x v="3"/>
    <d v="2025-07-01T00:00:00"/>
    <x v="11"/>
    <n v="3"/>
    <x v="3"/>
  </r>
  <r>
    <x v="432"/>
    <x v="432"/>
    <s v="Rohan Patel"/>
    <x v="2"/>
    <x v="1"/>
    <x v="1"/>
    <s v="Jodhpur"/>
    <x v="4"/>
    <x v="2"/>
    <x v="3"/>
    <d v="2025-09-05T00:00:00"/>
    <x v="6"/>
    <n v="1"/>
    <x v="5"/>
  </r>
  <r>
    <x v="433"/>
    <x v="433"/>
    <s v="Neha Verma"/>
    <x v="9"/>
    <x v="1"/>
    <x v="0"/>
    <s v="Jaipur"/>
    <x v="4"/>
    <x v="0"/>
    <x v="3"/>
    <d v="2024-10-20T00:00:00"/>
    <x v="0"/>
    <n v="1"/>
    <x v="21"/>
  </r>
  <r>
    <x v="434"/>
    <x v="434"/>
    <s v="Priya Nair"/>
    <x v="10"/>
    <x v="1"/>
    <x v="0"/>
    <s v="Ahmedabad"/>
    <x v="6"/>
    <x v="5"/>
    <x v="3"/>
    <d v="2025-05-16T00:00:00"/>
    <x v="2"/>
    <n v="1"/>
    <x v="3"/>
  </r>
  <r>
    <x v="435"/>
    <x v="435"/>
    <s v="Rohan Gupta"/>
    <x v="15"/>
    <x v="1"/>
    <x v="1"/>
    <s v="Vadodara"/>
    <x v="6"/>
    <x v="2"/>
    <x v="3"/>
    <d v="2025-02-11T00:00:00"/>
    <x v="1"/>
    <n v="3"/>
    <x v="2"/>
  </r>
  <r>
    <x v="436"/>
    <x v="436"/>
    <s v="Kavita Sharma"/>
    <x v="31"/>
    <x v="0"/>
    <x v="1"/>
    <s v="Pune"/>
    <x v="0"/>
    <x v="2"/>
    <x v="1"/>
    <d v="2025-05-16T00:00:00"/>
    <x v="2"/>
    <n v="1"/>
    <x v="5"/>
  </r>
  <r>
    <x v="437"/>
    <x v="437"/>
    <s v="Rahul Iyer"/>
    <x v="41"/>
    <x v="0"/>
    <x v="0"/>
    <s v="Durgapur"/>
    <x v="3"/>
    <x v="4"/>
    <x v="2"/>
    <d v="2024-12-20T00:00:00"/>
    <x v="10"/>
    <n v="1"/>
    <x v="6"/>
  </r>
  <r>
    <x v="438"/>
    <x v="438"/>
    <s v="Sneha Iyer"/>
    <x v="19"/>
    <x v="0"/>
    <x v="0"/>
    <s v="Mumbai"/>
    <x v="0"/>
    <x v="2"/>
    <x v="3"/>
    <d v="2025-10-10T00:00:00"/>
    <x v="0"/>
    <n v="1"/>
    <x v="5"/>
  </r>
  <r>
    <x v="439"/>
    <x v="439"/>
    <s v="Rohan Nair"/>
    <x v="6"/>
    <x v="1"/>
    <x v="0"/>
    <s v="Jaipur"/>
    <x v="4"/>
    <x v="4"/>
    <x v="0"/>
    <d v="2025-10-19T00:00:00"/>
    <x v="0"/>
    <n v="2"/>
    <x v="5"/>
  </r>
  <r>
    <x v="440"/>
    <x v="440"/>
    <s v="Arjun Nair"/>
    <x v="28"/>
    <x v="1"/>
    <x v="1"/>
    <s v="New Delhi"/>
    <x v="2"/>
    <x v="3"/>
    <x v="4"/>
    <d v="2025-02-04T00:00:00"/>
    <x v="1"/>
    <n v="2"/>
    <x v="12"/>
  </r>
  <r>
    <x v="441"/>
    <x v="441"/>
    <s v="Suresh Sharma"/>
    <x v="17"/>
    <x v="2"/>
    <x v="1"/>
    <s v="New Delhi"/>
    <x v="2"/>
    <x v="0"/>
    <x v="3"/>
    <d v="2024-10-20T00:00:00"/>
    <x v="0"/>
    <n v="1"/>
    <x v="21"/>
  </r>
  <r>
    <x v="442"/>
    <x v="442"/>
    <s v="Sneha Gupta"/>
    <x v="38"/>
    <x v="2"/>
    <x v="1"/>
    <s v="Pune"/>
    <x v="0"/>
    <x v="3"/>
    <x v="2"/>
    <d v="2025-03-11T00:00:00"/>
    <x v="5"/>
    <n v="5"/>
    <x v="16"/>
  </r>
  <r>
    <x v="443"/>
    <x v="443"/>
    <s v="Vikas Verma"/>
    <x v="34"/>
    <x v="2"/>
    <x v="1"/>
    <s v="New Delhi"/>
    <x v="2"/>
    <x v="5"/>
    <x v="0"/>
    <d v="2025-09-16T00:00:00"/>
    <x v="6"/>
    <n v="4"/>
    <x v="22"/>
  </r>
  <r>
    <x v="444"/>
    <x v="444"/>
    <s v="Ritu Sharma"/>
    <x v="18"/>
    <x v="1"/>
    <x v="1"/>
    <s v="Kolkata"/>
    <x v="3"/>
    <x v="3"/>
    <x v="1"/>
    <d v="2025-08-04T00:00:00"/>
    <x v="3"/>
    <n v="3"/>
    <x v="3"/>
  </r>
  <r>
    <x v="445"/>
    <x v="445"/>
    <s v="Kavita Kumar"/>
    <x v="30"/>
    <x v="0"/>
    <x v="1"/>
    <s v="Pune"/>
    <x v="0"/>
    <x v="5"/>
    <x v="0"/>
    <d v="2025-06-30T00:00:00"/>
    <x v="8"/>
    <n v="5"/>
    <x v="5"/>
  </r>
  <r>
    <x v="446"/>
    <x v="446"/>
    <s v="Vikas Patel"/>
    <x v="14"/>
    <x v="1"/>
    <x v="0"/>
    <s v="Nagpur"/>
    <x v="0"/>
    <x v="5"/>
    <x v="0"/>
    <d v="2025-05-26T00:00:00"/>
    <x v="2"/>
    <n v="4"/>
    <x v="22"/>
  </r>
  <r>
    <x v="447"/>
    <x v="447"/>
    <s v="Rohan Nair"/>
    <x v="45"/>
    <x v="2"/>
    <x v="0"/>
    <s v="Ahmedabad"/>
    <x v="6"/>
    <x v="1"/>
    <x v="1"/>
    <d v="2024-12-22T00:00:00"/>
    <x v="10"/>
    <n v="2"/>
    <x v="23"/>
  </r>
  <r>
    <x v="448"/>
    <x v="448"/>
    <s v="Manish Yadav"/>
    <x v="11"/>
    <x v="0"/>
    <x v="0"/>
    <s v="Mumbai"/>
    <x v="0"/>
    <x v="5"/>
    <x v="2"/>
    <d v="2024-10-23T00:00:00"/>
    <x v="0"/>
    <n v="5"/>
    <x v="5"/>
  </r>
  <r>
    <x v="449"/>
    <x v="449"/>
    <s v="Priya Reddy"/>
    <x v="8"/>
    <x v="2"/>
    <x v="1"/>
    <s v="Bengaluru"/>
    <x v="1"/>
    <x v="1"/>
    <x v="2"/>
    <d v="2025-03-16T00:00:00"/>
    <x v="5"/>
    <n v="4"/>
    <x v="24"/>
  </r>
  <r>
    <x v="450"/>
    <x v="450"/>
    <s v="Raj Verma"/>
    <x v="41"/>
    <x v="0"/>
    <x v="0"/>
    <s v="Mysuru"/>
    <x v="1"/>
    <x v="3"/>
    <x v="1"/>
    <d v="2025-06-16T00:00:00"/>
    <x v="8"/>
    <n v="3"/>
    <x v="3"/>
  </r>
  <r>
    <x v="451"/>
    <x v="451"/>
    <s v="Suresh Kumar"/>
    <x v="14"/>
    <x v="1"/>
    <x v="1"/>
    <s v="Mangalore"/>
    <x v="1"/>
    <x v="5"/>
    <x v="4"/>
    <d v="2025-06-16T00:00:00"/>
    <x v="8"/>
    <n v="5"/>
    <x v="5"/>
  </r>
  <r>
    <x v="452"/>
    <x v="452"/>
    <s v="Ritu Yadav"/>
    <x v="35"/>
    <x v="0"/>
    <x v="0"/>
    <s v="Pune"/>
    <x v="0"/>
    <x v="3"/>
    <x v="2"/>
    <d v="2025-07-13T00:00:00"/>
    <x v="11"/>
    <n v="5"/>
    <x v="16"/>
  </r>
  <r>
    <x v="453"/>
    <x v="453"/>
    <s v="Sneha Iyer"/>
    <x v="46"/>
    <x v="2"/>
    <x v="0"/>
    <s v="Udaipur"/>
    <x v="4"/>
    <x v="2"/>
    <x v="2"/>
    <d v="2025-08-20T00:00:00"/>
    <x v="3"/>
    <n v="1"/>
    <x v="5"/>
  </r>
  <r>
    <x v="454"/>
    <x v="454"/>
    <s v="Divya Singh"/>
    <x v="37"/>
    <x v="2"/>
    <x v="1"/>
    <s v="Kolkata"/>
    <x v="3"/>
    <x v="0"/>
    <x v="2"/>
    <d v="2025-09-28T00:00:00"/>
    <x v="6"/>
    <n v="3"/>
    <x v="14"/>
  </r>
  <r>
    <x v="455"/>
    <x v="455"/>
    <s v="Arjun Gupta"/>
    <x v="23"/>
    <x v="2"/>
    <x v="1"/>
    <s v="New Delhi"/>
    <x v="2"/>
    <x v="5"/>
    <x v="2"/>
    <d v="2025-09-19T00:00:00"/>
    <x v="6"/>
    <n v="2"/>
    <x v="17"/>
  </r>
  <r>
    <x v="456"/>
    <x v="456"/>
    <s v="Vikas Patel"/>
    <x v="14"/>
    <x v="1"/>
    <x v="1"/>
    <s v="Chennai"/>
    <x v="5"/>
    <x v="3"/>
    <x v="4"/>
    <d v="2025-01-24T00:00:00"/>
    <x v="4"/>
    <n v="3"/>
    <x v="3"/>
  </r>
  <r>
    <x v="457"/>
    <x v="457"/>
    <s v="Sneha Patel"/>
    <x v="1"/>
    <x v="1"/>
    <x v="0"/>
    <s v="Kolkata"/>
    <x v="3"/>
    <x v="0"/>
    <x v="3"/>
    <d v="2025-06-23T00:00:00"/>
    <x v="8"/>
    <n v="4"/>
    <x v="16"/>
  </r>
  <r>
    <x v="458"/>
    <x v="458"/>
    <s v="Ritu Verma"/>
    <x v="42"/>
    <x v="0"/>
    <x v="1"/>
    <s v="Nagpur"/>
    <x v="0"/>
    <x v="5"/>
    <x v="1"/>
    <d v="2024-11-13T00:00:00"/>
    <x v="7"/>
    <n v="3"/>
    <x v="20"/>
  </r>
  <r>
    <x v="459"/>
    <x v="459"/>
    <s v="Rohan Gupta"/>
    <x v="44"/>
    <x v="1"/>
    <x v="1"/>
    <s v="Udaipur"/>
    <x v="4"/>
    <x v="3"/>
    <x v="4"/>
    <d v="2025-06-08T00:00:00"/>
    <x v="8"/>
    <n v="2"/>
    <x v="12"/>
  </r>
  <r>
    <x v="460"/>
    <x v="460"/>
    <s v="Rahul Verma"/>
    <x v="28"/>
    <x v="1"/>
    <x v="1"/>
    <s v="New Delhi"/>
    <x v="2"/>
    <x v="1"/>
    <x v="3"/>
    <d v="2025-05-10T00:00:00"/>
    <x v="2"/>
    <n v="1"/>
    <x v="9"/>
  </r>
  <r>
    <x v="461"/>
    <x v="461"/>
    <s v="Raj Yadav"/>
    <x v="28"/>
    <x v="1"/>
    <x v="1"/>
    <s v="Jaipur"/>
    <x v="4"/>
    <x v="4"/>
    <x v="4"/>
    <d v="2025-02-25T00:00:00"/>
    <x v="1"/>
    <n v="2"/>
    <x v="5"/>
  </r>
  <r>
    <x v="462"/>
    <x v="462"/>
    <s v="Suresh Patel"/>
    <x v="9"/>
    <x v="1"/>
    <x v="1"/>
    <s v="Surat"/>
    <x v="6"/>
    <x v="0"/>
    <x v="2"/>
    <d v="2025-04-13T00:00:00"/>
    <x v="9"/>
    <n v="5"/>
    <x v="0"/>
  </r>
  <r>
    <x v="463"/>
    <x v="463"/>
    <s v="Raj Sharma"/>
    <x v="44"/>
    <x v="1"/>
    <x v="0"/>
    <s v="Madurai"/>
    <x v="5"/>
    <x v="0"/>
    <x v="3"/>
    <d v="2025-08-30T00:00:00"/>
    <x v="3"/>
    <n v="3"/>
    <x v="14"/>
  </r>
  <r>
    <x v="464"/>
    <x v="464"/>
    <s v="Rohan Verma"/>
    <x v="6"/>
    <x v="1"/>
    <x v="1"/>
    <s v="Coimbatore"/>
    <x v="5"/>
    <x v="3"/>
    <x v="2"/>
    <d v="2025-01-28T00:00:00"/>
    <x v="4"/>
    <n v="3"/>
    <x v="3"/>
  </r>
  <r>
    <x v="465"/>
    <x v="465"/>
    <s v="Rohan Sharma"/>
    <x v="3"/>
    <x v="2"/>
    <x v="1"/>
    <s v="New Delhi"/>
    <x v="2"/>
    <x v="0"/>
    <x v="1"/>
    <d v="2025-02-08T00:00:00"/>
    <x v="1"/>
    <n v="2"/>
    <x v="15"/>
  </r>
  <r>
    <x v="466"/>
    <x v="466"/>
    <s v="Manish Gupta"/>
    <x v="5"/>
    <x v="0"/>
    <x v="0"/>
    <s v="Jodhpur"/>
    <x v="4"/>
    <x v="5"/>
    <x v="0"/>
    <d v="2025-04-13T00:00:00"/>
    <x v="9"/>
    <n v="4"/>
    <x v="22"/>
  </r>
  <r>
    <x v="467"/>
    <x v="467"/>
    <s v="Anita Iyer"/>
    <x v="19"/>
    <x v="0"/>
    <x v="1"/>
    <s v="Surat"/>
    <x v="6"/>
    <x v="5"/>
    <x v="2"/>
    <d v="2025-05-04T00:00:00"/>
    <x v="2"/>
    <n v="3"/>
    <x v="20"/>
  </r>
  <r>
    <x v="468"/>
    <x v="468"/>
    <s v="Rohan Iyer"/>
    <x v="32"/>
    <x v="1"/>
    <x v="0"/>
    <s v="Bengaluru"/>
    <x v="1"/>
    <x v="5"/>
    <x v="3"/>
    <d v="2025-06-24T00:00:00"/>
    <x v="8"/>
    <n v="1"/>
    <x v="3"/>
  </r>
  <r>
    <x v="469"/>
    <x v="469"/>
    <s v="Kavita Nair"/>
    <x v="7"/>
    <x v="1"/>
    <x v="0"/>
    <s v="Madurai"/>
    <x v="5"/>
    <x v="4"/>
    <x v="1"/>
    <d v="2025-04-07T00:00:00"/>
    <x v="9"/>
    <n v="5"/>
    <x v="18"/>
  </r>
  <r>
    <x v="470"/>
    <x v="470"/>
    <s v="Rahul Singh"/>
    <x v="37"/>
    <x v="2"/>
    <x v="1"/>
    <s v="Vadodara"/>
    <x v="6"/>
    <x v="1"/>
    <x v="2"/>
    <d v="2025-06-22T00:00:00"/>
    <x v="8"/>
    <n v="2"/>
    <x v="23"/>
  </r>
  <r>
    <x v="471"/>
    <x v="471"/>
    <s v="Amit Kumar"/>
    <x v="19"/>
    <x v="0"/>
    <x v="1"/>
    <s v="New Delhi"/>
    <x v="2"/>
    <x v="2"/>
    <x v="3"/>
    <d v="2025-02-02T00:00:00"/>
    <x v="1"/>
    <n v="1"/>
    <x v="5"/>
  </r>
  <r>
    <x v="472"/>
    <x v="472"/>
    <s v="Arjun Kumar"/>
    <x v="15"/>
    <x v="1"/>
    <x v="1"/>
    <s v="Howrah"/>
    <x v="3"/>
    <x v="5"/>
    <x v="4"/>
    <d v="2024-11-03T00:00:00"/>
    <x v="7"/>
    <n v="2"/>
    <x v="17"/>
  </r>
  <r>
    <x v="473"/>
    <x v="473"/>
    <s v="Anita Sharma"/>
    <x v="26"/>
    <x v="2"/>
    <x v="0"/>
    <s v="Udaipur"/>
    <x v="4"/>
    <x v="5"/>
    <x v="3"/>
    <d v="2025-09-25T00:00:00"/>
    <x v="6"/>
    <n v="3"/>
    <x v="20"/>
  </r>
  <r>
    <x v="474"/>
    <x v="474"/>
    <s v="Raj Kumar"/>
    <x v="29"/>
    <x v="2"/>
    <x v="0"/>
    <s v="New Delhi"/>
    <x v="2"/>
    <x v="0"/>
    <x v="2"/>
    <d v="2024-11-20T00:00:00"/>
    <x v="7"/>
    <n v="2"/>
    <x v="15"/>
  </r>
  <r>
    <x v="475"/>
    <x v="475"/>
    <s v="Amit Gupta"/>
    <x v="47"/>
    <x v="1"/>
    <x v="0"/>
    <s v="Udaipur"/>
    <x v="4"/>
    <x v="5"/>
    <x v="4"/>
    <d v="2025-04-23T00:00:00"/>
    <x v="9"/>
    <n v="1"/>
    <x v="3"/>
  </r>
  <r>
    <x v="476"/>
    <x v="476"/>
    <s v="Priya Yadav"/>
    <x v="41"/>
    <x v="0"/>
    <x v="0"/>
    <s v="Vadodara"/>
    <x v="6"/>
    <x v="0"/>
    <x v="1"/>
    <d v="2024-10-20T00:00:00"/>
    <x v="0"/>
    <n v="4"/>
    <x v="16"/>
  </r>
  <r>
    <x v="477"/>
    <x v="477"/>
    <s v="Amit Reddy"/>
    <x v="43"/>
    <x v="2"/>
    <x v="0"/>
    <s v="Ahmedabad"/>
    <x v="6"/>
    <x v="1"/>
    <x v="2"/>
    <d v="2025-01-12T00:00:00"/>
    <x v="4"/>
    <n v="1"/>
    <x v="9"/>
  </r>
  <r>
    <x v="478"/>
    <x v="478"/>
    <s v="Raj Nair"/>
    <x v="14"/>
    <x v="1"/>
    <x v="0"/>
    <s v="Chennai"/>
    <x v="5"/>
    <x v="0"/>
    <x v="4"/>
    <d v="2025-01-27T00:00:00"/>
    <x v="4"/>
    <n v="4"/>
    <x v="16"/>
  </r>
  <r>
    <x v="479"/>
    <x v="479"/>
    <s v="Anita Yadav"/>
    <x v="34"/>
    <x v="2"/>
    <x v="1"/>
    <s v="Jodhpur"/>
    <x v="4"/>
    <x v="1"/>
    <x v="4"/>
    <d v="2025-01-21T00:00:00"/>
    <x v="4"/>
    <n v="3"/>
    <x v="11"/>
  </r>
  <r>
    <x v="480"/>
    <x v="480"/>
    <s v="Vikas Yadav"/>
    <x v="5"/>
    <x v="0"/>
    <x v="1"/>
    <s v="Bengaluru"/>
    <x v="1"/>
    <x v="0"/>
    <x v="1"/>
    <d v="2025-05-09T00:00:00"/>
    <x v="2"/>
    <n v="1"/>
    <x v="21"/>
  </r>
  <r>
    <x v="481"/>
    <x v="481"/>
    <s v="Raj Yadav"/>
    <x v="12"/>
    <x v="1"/>
    <x v="0"/>
    <s v="Jaipur"/>
    <x v="4"/>
    <x v="4"/>
    <x v="4"/>
    <d v="2025-09-11T00:00:00"/>
    <x v="6"/>
    <n v="1"/>
    <x v="6"/>
  </r>
  <r>
    <x v="482"/>
    <x v="482"/>
    <s v="Anita Sharma"/>
    <x v="38"/>
    <x v="2"/>
    <x v="0"/>
    <s v="Pune"/>
    <x v="0"/>
    <x v="1"/>
    <x v="2"/>
    <d v="2025-01-02T00:00:00"/>
    <x v="4"/>
    <n v="4"/>
    <x v="24"/>
  </r>
  <r>
    <x v="483"/>
    <x v="483"/>
    <s v="Amit Sharma"/>
    <x v="30"/>
    <x v="0"/>
    <x v="0"/>
    <s v="Vadodara"/>
    <x v="6"/>
    <x v="3"/>
    <x v="4"/>
    <d v="2024-11-05T00:00:00"/>
    <x v="7"/>
    <n v="4"/>
    <x v="10"/>
  </r>
  <r>
    <x v="484"/>
    <x v="484"/>
    <s v="Raj Singh"/>
    <x v="16"/>
    <x v="0"/>
    <x v="0"/>
    <s v="Pune"/>
    <x v="0"/>
    <x v="4"/>
    <x v="3"/>
    <d v="2025-09-01T00:00:00"/>
    <x v="6"/>
    <n v="1"/>
    <x v="6"/>
  </r>
  <r>
    <x v="485"/>
    <x v="485"/>
    <s v="Priya Verma"/>
    <x v="5"/>
    <x v="0"/>
    <x v="0"/>
    <s v="New Delhi"/>
    <x v="2"/>
    <x v="4"/>
    <x v="2"/>
    <d v="2025-05-14T00:00:00"/>
    <x v="2"/>
    <n v="4"/>
    <x v="7"/>
  </r>
  <r>
    <x v="486"/>
    <x v="486"/>
    <s v="Rohan Reddy"/>
    <x v="33"/>
    <x v="0"/>
    <x v="0"/>
    <s v="Ahmedabad"/>
    <x v="6"/>
    <x v="1"/>
    <x v="1"/>
    <d v="2025-06-17T00:00:00"/>
    <x v="8"/>
    <n v="1"/>
    <x v="9"/>
  </r>
  <r>
    <x v="487"/>
    <x v="487"/>
    <s v="Anita Patel"/>
    <x v="2"/>
    <x v="1"/>
    <x v="1"/>
    <s v="Chennai"/>
    <x v="5"/>
    <x v="4"/>
    <x v="1"/>
    <d v="2025-10-08T00:00:00"/>
    <x v="0"/>
    <n v="1"/>
    <x v="6"/>
  </r>
  <r>
    <x v="488"/>
    <x v="488"/>
    <s v="Rahul Sharma"/>
    <x v="23"/>
    <x v="2"/>
    <x v="1"/>
    <s v="Jodhpur"/>
    <x v="4"/>
    <x v="4"/>
    <x v="3"/>
    <d v="2024-12-19T00:00:00"/>
    <x v="10"/>
    <n v="2"/>
    <x v="5"/>
  </r>
  <r>
    <x v="489"/>
    <x v="489"/>
    <s v="Rohan Sharma"/>
    <x v="21"/>
    <x v="1"/>
    <x v="0"/>
    <s v="Nagpur"/>
    <x v="0"/>
    <x v="0"/>
    <x v="3"/>
    <d v="2025-05-13T00:00:00"/>
    <x v="2"/>
    <n v="4"/>
    <x v="16"/>
  </r>
  <r>
    <x v="490"/>
    <x v="490"/>
    <s v="Raj Iyer"/>
    <x v="31"/>
    <x v="0"/>
    <x v="1"/>
    <s v="Udaipur"/>
    <x v="4"/>
    <x v="1"/>
    <x v="4"/>
    <d v="2025-07-26T00:00:00"/>
    <x v="11"/>
    <n v="5"/>
    <x v="1"/>
  </r>
  <r>
    <x v="491"/>
    <x v="491"/>
    <s v="Divya Verma"/>
    <x v="21"/>
    <x v="1"/>
    <x v="1"/>
    <s v="Kolkata"/>
    <x v="3"/>
    <x v="2"/>
    <x v="1"/>
    <d v="2025-01-02T00:00:00"/>
    <x v="4"/>
    <n v="3"/>
    <x v="2"/>
  </r>
  <r>
    <x v="492"/>
    <x v="492"/>
    <s v="Divya Iyer"/>
    <x v="22"/>
    <x v="1"/>
    <x v="0"/>
    <s v="Kolkata"/>
    <x v="3"/>
    <x v="5"/>
    <x v="0"/>
    <d v="2024-10-29T00:00:00"/>
    <x v="0"/>
    <n v="1"/>
    <x v="3"/>
  </r>
  <r>
    <x v="493"/>
    <x v="493"/>
    <s v="Raj Sharma"/>
    <x v="46"/>
    <x v="2"/>
    <x v="0"/>
    <s v="Vadodara"/>
    <x v="6"/>
    <x v="5"/>
    <x v="3"/>
    <d v="2025-05-01T00:00:00"/>
    <x v="2"/>
    <n v="4"/>
    <x v="22"/>
  </r>
  <r>
    <x v="494"/>
    <x v="494"/>
    <s v="Divya Kumar"/>
    <x v="21"/>
    <x v="1"/>
    <x v="1"/>
    <s v="New Delhi"/>
    <x v="2"/>
    <x v="0"/>
    <x v="2"/>
    <d v="2025-08-06T00:00:00"/>
    <x v="3"/>
    <n v="1"/>
    <x v="21"/>
  </r>
  <r>
    <x v="495"/>
    <x v="495"/>
    <s v="Priya Nair"/>
    <x v="6"/>
    <x v="1"/>
    <x v="0"/>
    <s v="Mysuru"/>
    <x v="1"/>
    <x v="2"/>
    <x v="0"/>
    <d v="2025-06-15T00:00:00"/>
    <x v="8"/>
    <n v="4"/>
    <x v="4"/>
  </r>
  <r>
    <x v="496"/>
    <x v="496"/>
    <s v="Sneha Yadav"/>
    <x v="3"/>
    <x v="2"/>
    <x v="1"/>
    <s v="Surat"/>
    <x v="6"/>
    <x v="5"/>
    <x v="3"/>
    <d v="2025-01-16T00:00:00"/>
    <x v="4"/>
    <n v="1"/>
    <x v="3"/>
  </r>
  <r>
    <x v="497"/>
    <x v="497"/>
    <s v="Amit Yadav"/>
    <x v="25"/>
    <x v="0"/>
    <x v="1"/>
    <s v="Pune"/>
    <x v="0"/>
    <x v="2"/>
    <x v="1"/>
    <d v="2025-07-09T00:00:00"/>
    <x v="11"/>
    <n v="2"/>
    <x v="7"/>
  </r>
  <r>
    <x v="498"/>
    <x v="498"/>
    <s v="Divya Singh"/>
    <x v="12"/>
    <x v="1"/>
    <x v="0"/>
    <s v="Udaipur"/>
    <x v="4"/>
    <x v="5"/>
    <x v="3"/>
    <d v="2025-08-14T00:00:00"/>
    <x v="3"/>
    <n v="4"/>
    <x v="22"/>
  </r>
  <r>
    <x v="499"/>
    <x v="499"/>
    <s v="Neha Iyer"/>
    <x v="11"/>
    <x v="0"/>
    <x v="1"/>
    <s v="Ahmedabad"/>
    <x v="6"/>
    <x v="1"/>
    <x v="3"/>
    <d v="2025-06-22T00:00:00"/>
    <x v="8"/>
    <n v="5"/>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5697792-4742-44C6-A669-1553C0FE842D}"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6">
  <location ref="A3:B6" firstHeaderRow="1" firstDataRow="1" firstDataCol="1"/>
  <pivotFields count="14">
    <pivotField dataField="1" showAll="0"/>
    <pivotField showAll="0"/>
    <pivotField showAll="0"/>
    <pivotField showAll="0">
      <items count="49">
        <item x="31"/>
        <item x="41"/>
        <item x="35"/>
        <item x="33"/>
        <item x="11"/>
        <item x="30"/>
        <item x="0"/>
        <item x="16"/>
        <item x="19"/>
        <item x="5"/>
        <item x="42"/>
        <item x="25"/>
        <item x="12"/>
        <item x="22"/>
        <item x="13"/>
        <item x="15"/>
        <item x="39"/>
        <item x="32"/>
        <item x="44"/>
        <item x="6"/>
        <item x="18"/>
        <item x="27"/>
        <item x="47"/>
        <item x="14"/>
        <item x="21"/>
        <item x="4"/>
        <item x="9"/>
        <item x="1"/>
        <item x="28"/>
        <item x="7"/>
        <item x="2"/>
        <item x="10"/>
        <item x="46"/>
        <item x="8"/>
        <item x="37"/>
        <item x="45"/>
        <item x="36"/>
        <item x="24"/>
        <item x="29"/>
        <item x="3"/>
        <item x="17"/>
        <item x="34"/>
        <item x="26"/>
        <item x="38"/>
        <item x="23"/>
        <item x="20"/>
        <item x="43"/>
        <item x="40"/>
        <item t="default"/>
      </items>
    </pivotField>
    <pivotField axis="axisRow" showAll="0">
      <items count="4">
        <item x="1"/>
        <item x="2"/>
        <item x="0"/>
        <item t="default"/>
      </items>
    </pivotField>
    <pivotField showAll="0"/>
    <pivotField showAll="0"/>
    <pivotField showAll="0"/>
    <pivotField showAll="0">
      <items count="7">
        <item x="0"/>
        <item x="3"/>
        <item x="1"/>
        <item x="4"/>
        <item x="5"/>
        <item x="2"/>
        <item t="default"/>
      </items>
    </pivotField>
    <pivotField showAll="0">
      <items count="6">
        <item x="2"/>
        <item x="3"/>
        <item x="1"/>
        <item x="0"/>
        <item x="4"/>
        <item t="default"/>
      </items>
    </pivotField>
    <pivotField numFmtId="164" showAll="0"/>
    <pivotField showAll="0">
      <items count="13">
        <item x="4"/>
        <item x="1"/>
        <item x="5"/>
        <item x="9"/>
        <item x="2"/>
        <item x="8"/>
        <item x="11"/>
        <item x="3"/>
        <item x="6"/>
        <item x="0"/>
        <item x="7"/>
        <item x="10"/>
        <item t="default"/>
      </items>
    </pivotField>
    <pivotField showAll="0"/>
    <pivotField showAll="0"/>
  </pivotFields>
  <rowFields count="1">
    <field x="4"/>
  </rowFields>
  <rowItems count="3">
    <i>
      <x/>
    </i>
    <i>
      <x v="1"/>
    </i>
    <i>
      <x v="2"/>
    </i>
  </rowItems>
  <colItems count="1">
    <i/>
  </colItems>
  <dataFields count="1">
    <dataField name="Count of Order ID" fld="0" subtotal="count" baseField="0" baseItem="0"/>
  </dataFields>
  <chartFormats count="1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2"/>
          </reference>
        </references>
      </pivotArea>
    </chartFormat>
    <chartFormat chart="0" format="3">
      <pivotArea type="data" outline="0" fieldPosition="0">
        <references count="2">
          <reference field="4294967294" count="1" selected="0">
            <x v="0"/>
          </reference>
          <reference field="4" count="1" selected="0">
            <x v="1"/>
          </reference>
        </references>
      </pivotArea>
    </chartFormat>
    <chartFormat chart="11" format="4" series="1">
      <pivotArea type="data" outline="0" fieldPosition="0">
        <references count="1">
          <reference field="4294967294" count="1" selected="0">
            <x v="0"/>
          </reference>
        </references>
      </pivotArea>
    </chartFormat>
    <chartFormat chart="11" format="5">
      <pivotArea type="data" outline="0" fieldPosition="0">
        <references count="2">
          <reference field="4294967294" count="1" selected="0">
            <x v="0"/>
          </reference>
          <reference field="4" count="1" selected="0">
            <x v="0"/>
          </reference>
        </references>
      </pivotArea>
    </chartFormat>
    <chartFormat chart="11" format="6">
      <pivotArea type="data" outline="0" fieldPosition="0">
        <references count="2">
          <reference field="4294967294" count="1" selected="0">
            <x v="0"/>
          </reference>
          <reference field="4" count="1" selected="0">
            <x v="1"/>
          </reference>
        </references>
      </pivotArea>
    </chartFormat>
    <chartFormat chart="11" format="7">
      <pivotArea type="data" outline="0" fieldPosition="0">
        <references count="2">
          <reference field="4294967294" count="1" selected="0">
            <x v="0"/>
          </reference>
          <reference field="4" count="1" selected="0">
            <x v="2"/>
          </reference>
        </references>
      </pivotArea>
    </chartFormat>
    <chartFormat chart="12" format="8" series="1">
      <pivotArea type="data" outline="0" fieldPosition="0">
        <references count="1">
          <reference field="4294967294" count="1" selected="0">
            <x v="0"/>
          </reference>
        </references>
      </pivotArea>
    </chartFormat>
    <chartFormat chart="12" format="9">
      <pivotArea type="data" outline="0" fieldPosition="0">
        <references count="2">
          <reference field="4294967294" count="1" selected="0">
            <x v="0"/>
          </reference>
          <reference field="4" count="1" selected="0">
            <x v="0"/>
          </reference>
        </references>
      </pivotArea>
    </chartFormat>
    <chartFormat chart="12" format="10">
      <pivotArea type="data" outline="0" fieldPosition="0">
        <references count="2">
          <reference field="4294967294" count="1" selected="0">
            <x v="0"/>
          </reference>
          <reference field="4" count="1" selected="0">
            <x v="1"/>
          </reference>
        </references>
      </pivotArea>
    </chartFormat>
    <chartFormat chart="12" format="11">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0369AC5-2B3E-4E6A-A767-2832FC69AECB}"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6">
  <location ref="A3:B5" firstHeaderRow="1" firstDataRow="1" firstDataCol="1"/>
  <pivotFields count="14">
    <pivotField showAll="0"/>
    <pivotField showAll="0"/>
    <pivotField showAll="0"/>
    <pivotField showAll="0">
      <items count="49">
        <item x="31"/>
        <item x="41"/>
        <item x="35"/>
        <item x="33"/>
        <item x="11"/>
        <item x="30"/>
        <item x="0"/>
        <item x="16"/>
        <item x="19"/>
        <item x="5"/>
        <item x="42"/>
        <item x="25"/>
        <item x="12"/>
        <item x="22"/>
        <item x="13"/>
        <item x="15"/>
        <item x="39"/>
        <item x="32"/>
        <item x="44"/>
        <item x="6"/>
        <item x="18"/>
        <item x="27"/>
        <item x="47"/>
        <item x="14"/>
        <item x="21"/>
        <item x="4"/>
        <item x="9"/>
        <item x="1"/>
        <item x="28"/>
        <item x="7"/>
        <item x="2"/>
        <item x="10"/>
        <item x="46"/>
        <item x="8"/>
        <item x="37"/>
        <item x="45"/>
        <item x="36"/>
        <item x="24"/>
        <item x="29"/>
        <item x="3"/>
        <item x="17"/>
        <item x="34"/>
        <item x="26"/>
        <item x="38"/>
        <item x="23"/>
        <item x="20"/>
        <item x="43"/>
        <item x="40"/>
        <item t="default"/>
      </items>
    </pivotField>
    <pivotField showAll="0"/>
    <pivotField axis="axisRow" showAll="0">
      <items count="3">
        <item x="1"/>
        <item x="0"/>
        <item t="default"/>
      </items>
    </pivotField>
    <pivotField showAll="0"/>
    <pivotField showAll="0"/>
    <pivotField showAll="0">
      <items count="7">
        <item x="0"/>
        <item x="3"/>
        <item x="1"/>
        <item x="4"/>
        <item x="5"/>
        <item x="2"/>
        <item t="default"/>
      </items>
    </pivotField>
    <pivotField showAll="0">
      <items count="6">
        <item x="2"/>
        <item x="3"/>
        <item x="1"/>
        <item x="0"/>
        <item x="4"/>
        <item t="default"/>
      </items>
    </pivotField>
    <pivotField numFmtId="164" showAll="0"/>
    <pivotField showAll="0">
      <items count="13">
        <item x="4"/>
        <item x="1"/>
        <item x="5"/>
        <item x="9"/>
        <item x="2"/>
        <item x="8"/>
        <item x="11"/>
        <item x="3"/>
        <item x="6"/>
        <item x="0"/>
        <item x="7"/>
        <item x="10"/>
        <item t="default"/>
      </items>
    </pivotField>
    <pivotField showAll="0"/>
    <pivotField dataField="1" showAll="0"/>
  </pivotFields>
  <rowFields count="1">
    <field x="5"/>
  </rowFields>
  <rowItems count="2">
    <i>
      <x/>
    </i>
    <i>
      <x v="1"/>
    </i>
  </rowItems>
  <colItems count="1">
    <i/>
  </colItems>
  <dataFields count="1">
    <dataField name="Sum of Total Spent" fld="13" baseField="0" baseItem="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5" count="1" selected="0">
            <x v="0"/>
          </reference>
        </references>
      </pivotArea>
    </chartFormat>
    <chartFormat chart="0" format="2">
      <pivotArea type="data" outline="0" fieldPosition="0">
        <references count="2">
          <reference field="4294967294" count="1" selected="0">
            <x v="0"/>
          </reference>
          <reference field="5" count="1" selected="0">
            <x v="1"/>
          </reference>
        </references>
      </pivotArea>
    </chartFormat>
    <chartFormat chart="13" format="6" series="1">
      <pivotArea type="data" outline="0" fieldPosition="0">
        <references count="1">
          <reference field="4294967294" count="1" selected="0">
            <x v="0"/>
          </reference>
        </references>
      </pivotArea>
    </chartFormat>
    <chartFormat chart="13" format="7">
      <pivotArea type="data" outline="0" fieldPosition="0">
        <references count="2">
          <reference field="4294967294" count="1" selected="0">
            <x v="0"/>
          </reference>
          <reference field="5" count="1" selected="0">
            <x v="0"/>
          </reference>
        </references>
      </pivotArea>
    </chartFormat>
    <chartFormat chart="13" format="8">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36DB804-20DD-4C4F-89E9-015F3427336F}"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3">
  <location ref="A3:B8" firstHeaderRow="1" firstDataRow="1" firstDataCol="1"/>
  <pivotFields count="14">
    <pivotField showAll="0"/>
    <pivotField showAll="0"/>
    <pivotField showAll="0"/>
    <pivotField showAll="0">
      <items count="49">
        <item x="31"/>
        <item x="41"/>
        <item x="35"/>
        <item x="33"/>
        <item x="11"/>
        <item x="30"/>
        <item x="0"/>
        <item x="16"/>
        <item x="19"/>
        <item x="5"/>
        <item x="42"/>
        <item x="25"/>
        <item x="12"/>
        <item x="22"/>
        <item x="13"/>
        <item x="15"/>
        <item x="39"/>
        <item x="32"/>
        <item x="44"/>
        <item x="6"/>
        <item x="18"/>
        <item x="27"/>
        <item x="47"/>
        <item x="14"/>
        <item x="21"/>
        <item x="4"/>
        <item x="9"/>
        <item x="1"/>
        <item x="28"/>
        <item x="7"/>
        <item x="2"/>
        <item x="10"/>
        <item x="46"/>
        <item x="8"/>
        <item x="37"/>
        <item x="45"/>
        <item x="36"/>
        <item x="24"/>
        <item x="29"/>
        <item x="3"/>
        <item x="17"/>
        <item x="34"/>
        <item x="26"/>
        <item x="38"/>
        <item x="23"/>
        <item x="20"/>
        <item x="43"/>
        <item x="40"/>
        <item t="default"/>
      </items>
    </pivotField>
    <pivotField showAll="0"/>
    <pivotField showAll="0"/>
    <pivotField showAll="0"/>
    <pivotField axis="axisRow" showAll="0" measureFilter="1" sortType="descending">
      <items count="8">
        <item x="2"/>
        <item x="6"/>
        <item x="1"/>
        <item x="0"/>
        <item x="4"/>
        <item x="5"/>
        <item x="3"/>
        <item t="default"/>
      </items>
      <autoSortScope>
        <pivotArea dataOnly="0" outline="0" fieldPosition="0">
          <references count="1">
            <reference field="4294967294" count="1" selected="0">
              <x v="0"/>
            </reference>
          </references>
        </pivotArea>
      </autoSortScope>
    </pivotField>
    <pivotField showAll="0">
      <items count="7">
        <item x="0"/>
        <item x="3"/>
        <item x="1"/>
        <item x="4"/>
        <item x="5"/>
        <item x="2"/>
        <item t="default"/>
      </items>
    </pivotField>
    <pivotField showAll="0">
      <items count="6">
        <item x="2"/>
        <item x="3"/>
        <item x="1"/>
        <item x="0"/>
        <item x="4"/>
        <item t="default"/>
      </items>
    </pivotField>
    <pivotField numFmtId="164" showAll="0"/>
    <pivotField showAll="0">
      <items count="13">
        <item x="4"/>
        <item x="1"/>
        <item x="5"/>
        <item x="9"/>
        <item x="2"/>
        <item x="8"/>
        <item x="11"/>
        <item x="3"/>
        <item x="6"/>
        <item x="0"/>
        <item x="7"/>
        <item x="10"/>
        <item t="default"/>
      </items>
    </pivotField>
    <pivotField showAll="0"/>
    <pivotField dataField="1" showAll="0"/>
  </pivotFields>
  <rowFields count="1">
    <field x="7"/>
  </rowFields>
  <rowItems count="5">
    <i>
      <x v="1"/>
    </i>
    <i>
      <x v="4"/>
    </i>
    <i>
      <x/>
    </i>
    <i>
      <x v="3"/>
    </i>
    <i>
      <x v="2"/>
    </i>
  </rowItems>
  <colItems count="1">
    <i/>
  </colItems>
  <dataFields count="1">
    <dataField name="Sum of Total Spent" fld="13" baseField="0" baseItem="0"/>
  </dataFields>
  <chartFormats count="2">
    <chartFormat chart="0"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7"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DAEFF82-DBCF-416C-B0B6-D0BBF21A0BC5}" name="PivotTable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0">
  <location ref="A3:C7" firstHeaderRow="1" firstDataRow="2" firstDataCol="1"/>
  <pivotFields count="14">
    <pivotField dataField="1" showAll="0"/>
    <pivotField showAll="0"/>
    <pivotField showAll="0"/>
    <pivotField showAll="0">
      <items count="49">
        <item x="31"/>
        <item x="41"/>
        <item x="35"/>
        <item x="33"/>
        <item x="11"/>
        <item x="30"/>
        <item x="0"/>
        <item x="16"/>
        <item x="19"/>
        <item x="5"/>
        <item x="42"/>
        <item x="25"/>
        <item x="12"/>
        <item x="22"/>
        <item x="13"/>
        <item x="15"/>
        <item x="39"/>
        <item x="32"/>
        <item x="44"/>
        <item x="6"/>
        <item x="18"/>
        <item x="27"/>
        <item x="47"/>
        <item x="14"/>
        <item x="21"/>
        <item x="4"/>
        <item x="9"/>
        <item x="1"/>
        <item x="28"/>
        <item x="7"/>
        <item x="2"/>
        <item x="10"/>
        <item x="46"/>
        <item x="8"/>
        <item x="37"/>
        <item x="45"/>
        <item x="36"/>
        <item x="24"/>
        <item x="29"/>
        <item x="3"/>
        <item x="17"/>
        <item x="34"/>
        <item x="26"/>
        <item x="38"/>
        <item x="23"/>
        <item x="20"/>
        <item x="43"/>
        <item x="40"/>
        <item t="default"/>
      </items>
    </pivotField>
    <pivotField axis="axisRow" showAll="0" sortType="ascending">
      <items count="4">
        <item x="1"/>
        <item x="2"/>
        <item x="0"/>
        <item t="default"/>
      </items>
    </pivotField>
    <pivotField axis="axisCol" showAll="0">
      <items count="3">
        <item x="1"/>
        <item x="0"/>
        <item t="default"/>
      </items>
    </pivotField>
    <pivotField showAll="0"/>
    <pivotField showAll="0"/>
    <pivotField showAll="0">
      <items count="7">
        <item x="0"/>
        <item x="3"/>
        <item x="1"/>
        <item x="4"/>
        <item x="5"/>
        <item x="2"/>
        <item t="default"/>
      </items>
    </pivotField>
    <pivotField showAll="0">
      <items count="6">
        <item x="2"/>
        <item x="3"/>
        <item x="1"/>
        <item x="0"/>
        <item x="4"/>
        <item t="default"/>
      </items>
    </pivotField>
    <pivotField numFmtId="164" showAll="0"/>
    <pivotField showAll="0">
      <items count="13">
        <item x="4"/>
        <item x="1"/>
        <item x="5"/>
        <item x="9"/>
        <item x="2"/>
        <item x="8"/>
        <item x="11"/>
        <item x="3"/>
        <item x="6"/>
        <item x="0"/>
        <item x="7"/>
        <item x="10"/>
        <item t="default"/>
      </items>
    </pivotField>
    <pivotField showAll="0"/>
    <pivotField showAll="0"/>
  </pivotFields>
  <rowFields count="1">
    <field x="4"/>
  </rowFields>
  <rowItems count="3">
    <i>
      <x/>
    </i>
    <i>
      <x v="1"/>
    </i>
    <i>
      <x v="2"/>
    </i>
  </rowItems>
  <colFields count="1">
    <field x="5"/>
  </colFields>
  <colItems count="2">
    <i>
      <x/>
    </i>
    <i>
      <x v="1"/>
    </i>
  </colItems>
  <dataFields count="1">
    <dataField name="Count of Order ID" fld="0" subtotal="count" showDataAs="percentOfTotal" baseField="0" baseItem="0" numFmtId="10"/>
  </dataFields>
  <chartFormats count="6">
    <chartFormat chart="2" format="0" series="1">
      <pivotArea type="data" outline="0" fieldPosition="0">
        <references count="2">
          <reference field="4294967294" count="1" selected="0">
            <x v="0"/>
          </reference>
          <reference field="5" count="1" selected="0">
            <x v="0"/>
          </reference>
        </references>
      </pivotArea>
    </chartFormat>
    <chartFormat chart="2" format="1" series="1">
      <pivotArea type="data" outline="0" fieldPosition="0">
        <references count="2">
          <reference field="4294967294" count="1" selected="0">
            <x v="0"/>
          </reference>
          <reference field="5" count="1" selected="0">
            <x v="1"/>
          </reference>
        </references>
      </pivotArea>
    </chartFormat>
    <chartFormat chart="8" format="4" series="1">
      <pivotArea type="data" outline="0" fieldPosition="0">
        <references count="2">
          <reference field="4294967294" count="1" selected="0">
            <x v="0"/>
          </reference>
          <reference field="5" count="1" selected="0">
            <x v="0"/>
          </reference>
        </references>
      </pivotArea>
    </chartFormat>
    <chartFormat chart="8" format="5" series="1">
      <pivotArea type="data" outline="0" fieldPosition="0">
        <references count="2">
          <reference field="4294967294" count="1" selected="0">
            <x v="0"/>
          </reference>
          <reference field="5" count="1" selected="0">
            <x v="1"/>
          </reference>
        </references>
      </pivotArea>
    </chartFormat>
    <chartFormat chart="8" format="6"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7E2442D-F267-4628-8E16-45CDFD147C27}" name="PivotTable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1">
  <location ref="A3:B8" firstHeaderRow="1" firstDataRow="1" firstDataCol="1"/>
  <pivotFields count="14">
    <pivotField dataField="1" showAll="0">
      <items count="5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t="default"/>
      </items>
    </pivotField>
    <pivotField showAll="0">
      <items count="5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t="default"/>
      </items>
    </pivotField>
    <pivotField showAll="0"/>
    <pivotField showAll="0">
      <items count="49">
        <item x="31"/>
        <item x="41"/>
        <item x="35"/>
        <item x="33"/>
        <item x="11"/>
        <item x="30"/>
        <item x="0"/>
        <item x="16"/>
        <item x="19"/>
        <item x="5"/>
        <item x="42"/>
        <item x="25"/>
        <item x="12"/>
        <item x="22"/>
        <item x="13"/>
        <item x="15"/>
        <item x="39"/>
        <item x="32"/>
        <item x="44"/>
        <item x="6"/>
        <item x="18"/>
        <item x="27"/>
        <item x="47"/>
        <item x="14"/>
        <item x="21"/>
        <item x="4"/>
        <item x="9"/>
        <item x="1"/>
        <item x="28"/>
        <item x="7"/>
        <item x="2"/>
        <item x="10"/>
        <item x="46"/>
        <item x="8"/>
        <item x="37"/>
        <item x="45"/>
        <item x="36"/>
        <item x="24"/>
        <item x="29"/>
        <item x="3"/>
        <item x="17"/>
        <item x="34"/>
        <item x="26"/>
        <item x="38"/>
        <item x="23"/>
        <item x="20"/>
        <item x="43"/>
        <item x="40"/>
        <item t="default"/>
      </items>
    </pivotField>
    <pivotField showAll="0"/>
    <pivotField showAll="0"/>
    <pivotField showAll="0"/>
    <pivotField showAll="0"/>
    <pivotField showAll="0">
      <items count="7">
        <item x="0"/>
        <item x="3"/>
        <item x="1"/>
        <item x="4"/>
        <item x="5"/>
        <item x="2"/>
        <item t="default"/>
      </items>
    </pivotField>
    <pivotField axis="axisRow" showAll="0">
      <items count="6">
        <item x="2"/>
        <item x="3"/>
        <item x="1"/>
        <item x="0"/>
        <item x="4"/>
        <item t="default"/>
      </items>
    </pivotField>
    <pivotField numFmtId="164" showAll="0"/>
    <pivotField showAll="0">
      <items count="13">
        <item x="4"/>
        <item x="1"/>
        <item x="5"/>
        <item x="9"/>
        <item x="2"/>
        <item x="8"/>
        <item x="11"/>
        <item x="3"/>
        <item x="6"/>
        <item x="0"/>
        <item x="7"/>
        <item x="10"/>
        <item t="default"/>
      </items>
    </pivotField>
    <pivotField showAll="0"/>
    <pivotField showAll="0"/>
  </pivotFields>
  <rowFields count="1">
    <field x="9"/>
  </rowFields>
  <rowItems count="5">
    <i>
      <x/>
    </i>
    <i>
      <x v="1"/>
    </i>
    <i>
      <x v="2"/>
    </i>
    <i>
      <x v="3"/>
    </i>
    <i>
      <x v="4"/>
    </i>
  </rowItems>
  <colItems count="1">
    <i/>
  </colItems>
  <dataFields count="1">
    <dataField name="Count of Order ID" fld="0" subtotal="count" baseField="0" baseItem="0"/>
  </dataFields>
  <chartFormats count="7">
    <chartFormat chart="0" format="0" series="1">
      <pivotArea type="data" outline="0" fieldPosition="0">
        <references count="1">
          <reference field="4294967294" count="1" selected="0">
            <x v="0"/>
          </reference>
        </references>
      </pivotArea>
    </chartFormat>
    <chartFormat chart="9" format="7" series="1">
      <pivotArea type="data" outline="0" fieldPosition="0">
        <references count="1">
          <reference field="4294967294" count="1" selected="0">
            <x v="0"/>
          </reference>
        </references>
      </pivotArea>
    </chartFormat>
    <chartFormat chart="9" format="8">
      <pivotArea type="data" outline="0" fieldPosition="0">
        <references count="2">
          <reference field="4294967294" count="1" selected="0">
            <x v="0"/>
          </reference>
          <reference field="9" count="1" selected="0">
            <x v="0"/>
          </reference>
        </references>
      </pivotArea>
    </chartFormat>
    <chartFormat chart="9" format="9">
      <pivotArea type="data" outline="0" fieldPosition="0">
        <references count="2">
          <reference field="4294967294" count="1" selected="0">
            <x v="0"/>
          </reference>
          <reference field="9" count="1" selected="0">
            <x v="1"/>
          </reference>
        </references>
      </pivotArea>
    </chartFormat>
    <chartFormat chart="9" format="10">
      <pivotArea type="data" outline="0" fieldPosition="0">
        <references count="2">
          <reference field="4294967294" count="1" selected="0">
            <x v="0"/>
          </reference>
          <reference field="9" count="1" selected="0">
            <x v="2"/>
          </reference>
        </references>
      </pivotArea>
    </chartFormat>
    <chartFormat chart="9" format="11">
      <pivotArea type="data" outline="0" fieldPosition="0">
        <references count="2">
          <reference field="4294967294" count="1" selected="0">
            <x v="0"/>
          </reference>
          <reference field="9" count="1" selected="0">
            <x v="3"/>
          </reference>
        </references>
      </pivotArea>
    </chartFormat>
    <chartFormat chart="9" format="12">
      <pivotArea type="data" outline="0" fieldPosition="0">
        <references count="2">
          <reference field="4294967294" count="1" selected="0">
            <x v="0"/>
          </reference>
          <reference field="9"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41374E2-BF96-404E-B9F9-9143763F79B4}" name="PivotTable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8">
  <location ref="A3:C15" firstHeaderRow="0" firstDataRow="1" firstDataCol="1"/>
  <pivotFields count="14">
    <pivotField dataField="1" showAll="0">
      <items count="5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t="default"/>
      </items>
    </pivotField>
    <pivotField showAll="0"/>
    <pivotField showAll="0"/>
    <pivotField showAll="0"/>
    <pivotField showAll="0"/>
    <pivotField showAll="0"/>
    <pivotField showAll="0"/>
    <pivotField showAll="0">
      <items count="8">
        <item x="2"/>
        <item x="6"/>
        <item x="1"/>
        <item x="0"/>
        <item x="4"/>
        <item x="5"/>
        <item x="3"/>
        <item t="default"/>
      </items>
    </pivotField>
    <pivotField showAll="0">
      <items count="7">
        <item x="0"/>
        <item x="3"/>
        <item x="1"/>
        <item x="4"/>
        <item x="5"/>
        <item x="2"/>
        <item t="default"/>
      </items>
    </pivotField>
    <pivotField showAll="0">
      <items count="6">
        <item x="2"/>
        <item x="3"/>
        <item x="1"/>
        <item x="0"/>
        <item x="4"/>
        <item t="default"/>
      </items>
    </pivotField>
    <pivotField numFmtId="164" showAll="0"/>
    <pivotField axis="axisRow" showAll="0">
      <items count="13">
        <item x="4"/>
        <item x="1"/>
        <item x="5"/>
        <item x="9"/>
        <item x="2"/>
        <item x="8"/>
        <item x="11"/>
        <item x="3"/>
        <item x="6"/>
        <item x="0"/>
        <item x="7"/>
        <item x="10"/>
        <item t="default"/>
      </items>
    </pivotField>
    <pivotField showAll="0"/>
    <pivotField dataField="1" showAll="0">
      <items count="26">
        <item x="19"/>
        <item x="21"/>
        <item x="12"/>
        <item x="15"/>
        <item x="3"/>
        <item x="14"/>
        <item x="10"/>
        <item x="16"/>
        <item x="17"/>
        <item x="0"/>
        <item x="6"/>
        <item x="20"/>
        <item x="22"/>
        <item x="5"/>
        <item x="13"/>
        <item x="9"/>
        <item x="7"/>
        <item x="18"/>
        <item x="2"/>
        <item x="23"/>
        <item x="4"/>
        <item x="8"/>
        <item x="11"/>
        <item x="24"/>
        <item x="1"/>
        <item t="default"/>
      </items>
    </pivotField>
  </pivotFields>
  <rowFields count="1">
    <field x="11"/>
  </rowFields>
  <rowItems count="12">
    <i>
      <x/>
    </i>
    <i>
      <x v="1"/>
    </i>
    <i>
      <x v="2"/>
    </i>
    <i>
      <x v="3"/>
    </i>
    <i>
      <x v="4"/>
    </i>
    <i>
      <x v="5"/>
    </i>
    <i>
      <x v="6"/>
    </i>
    <i>
      <x v="7"/>
    </i>
    <i>
      <x v="8"/>
    </i>
    <i>
      <x v="9"/>
    </i>
    <i>
      <x v="10"/>
    </i>
    <i>
      <x v="11"/>
    </i>
  </rowItems>
  <colFields count="1">
    <field x="-2"/>
  </colFields>
  <colItems count="2">
    <i>
      <x/>
    </i>
    <i i="1">
      <x v="1"/>
    </i>
  </colItems>
  <dataFields count="2">
    <dataField name="Count of Order ID" fld="0" subtotal="count" baseField="0" baseItem="0"/>
    <dataField name="Sum of Total Spent" fld="13" baseField="0" baseItem="0"/>
  </dataField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6" format="2" series="1">
      <pivotArea type="data" outline="0" fieldPosition="0">
        <references count="1">
          <reference field="4294967294" count="1" selected="0">
            <x v="0"/>
          </reference>
        </references>
      </pivotArea>
    </chartFormat>
    <chartFormat chart="6" format="3"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1" xr10:uid="{3DEC356A-4BB4-48B4-9243-6822A91DDFDD}" sourceName="Product">
  <pivotTables>
    <pivotTable tabId="5" name="PivotTable3"/>
    <pivotTable tabId="7" name="PivotTable4"/>
    <pivotTable tabId="8" name="PivotTable5"/>
    <pivotTable tabId="9" name="PivotTable6"/>
    <pivotTable tabId="10" name="PivotTable7"/>
    <pivotTable tabId="11" name="PivotTable8"/>
  </pivotTables>
  <data>
    <tabular pivotCacheId="2071782222">
      <items count="6">
        <i x="0" s="1"/>
        <i x="3" s="1"/>
        <i x="1" s="1"/>
        <i x="4" s="1"/>
        <i x="5"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annel1" xr10:uid="{A2BBA0B8-03BE-4E7F-A43E-42BE17E77A4A}" sourceName="Channel">
  <pivotTables>
    <pivotTable tabId="5" name="PivotTable3"/>
    <pivotTable tabId="7" name="PivotTable4"/>
    <pivotTable tabId="8" name="PivotTable5"/>
    <pivotTable tabId="9" name="PivotTable6"/>
    <pivotTable tabId="10" name="PivotTable7"/>
    <pivotTable tabId="11" name="PivotTable8"/>
  </pivotTables>
  <data>
    <tabular pivotCacheId="2071782222">
      <items count="5">
        <i x="2" s="1"/>
        <i x="3" s="1"/>
        <i x="1" s="1"/>
        <i x="0" s="1"/>
        <i x="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D1881CCF-8896-4CCA-8DD5-FB6DD9922BF7}" sourceName="Month">
  <pivotTables>
    <pivotTable tabId="5" name="PivotTable3"/>
    <pivotTable tabId="7" name="PivotTable4"/>
    <pivotTable tabId="8" name="PivotTable5"/>
    <pivotTable tabId="9" name="PivotTable6"/>
    <pivotTable tabId="10" name="PivotTable7"/>
    <pivotTable tabId="11" name="PivotTable8"/>
  </pivotTables>
  <data>
    <tabular pivotCacheId="2071782222">
      <items count="12">
        <i x="4" s="1"/>
        <i x="1" s="1"/>
        <i x="5" s="1"/>
        <i x="9" s="1"/>
        <i x="2" s="1"/>
        <i x="8" s="1"/>
        <i x="11" s="1"/>
        <i x="3" s="1"/>
        <i x="6" s="1"/>
        <i x="0" s="1"/>
        <i x="7" s="1"/>
        <i x="1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1" xr10:uid="{AABF8B83-BAD4-4E7A-AA50-42B0FB7E676E}" cache="Slicer_Product1" caption="Product" rowHeight="234950"/>
  <slicer name="Channel 1" xr10:uid="{BE01A0F9-F1A1-479D-A25F-09D13980C75E}" cache="Slicer_Channel1" caption="Channel" startItem="1" rowHeight="234950"/>
  <slicer name="Month" xr10:uid="{BD1A4F3F-A057-4611-B0FB-F9CD80E4CD41}" cache="Slicer_Month" caption="Month" rowHeight="234950"/>
</slic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6DD28-B9B3-412D-8D35-57FA32DB5784}">
  <dimension ref="A1:AH49"/>
  <sheetViews>
    <sheetView showGridLines="0" tabSelected="1" zoomScale="106" zoomScaleNormal="106" workbookViewId="0">
      <selection activeCell="W1" sqref="W1"/>
    </sheetView>
  </sheetViews>
  <sheetFormatPr defaultRowHeight="14.4" x14ac:dyDescent="0.3"/>
  <sheetData>
    <row r="1" spans="1:34" ht="31.2" x14ac:dyDescent="0.6">
      <c r="A1" s="9" t="s">
        <v>1218</v>
      </c>
      <c r="B1" s="9"/>
      <c r="C1" s="9"/>
      <c r="D1" s="9"/>
      <c r="E1" s="9"/>
      <c r="F1" s="9"/>
      <c r="G1" s="9"/>
      <c r="H1" s="9"/>
      <c r="I1" s="9"/>
      <c r="J1" s="9"/>
      <c r="K1" s="9"/>
      <c r="L1" s="9"/>
      <c r="M1" s="9"/>
      <c r="N1" s="9"/>
      <c r="O1" s="9"/>
      <c r="P1" s="9"/>
      <c r="Q1" s="9"/>
      <c r="R1" s="9"/>
      <c r="S1" s="9"/>
      <c r="T1" s="9"/>
      <c r="U1" s="9"/>
      <c r="V1" s="9"/>
      <c r="W1" s="8"/>
      <c r="X1" s="8"/>
      <c r="Y1" s="7"/>
      <c r="Z1" s="7"/>
      <c r="AA1" s="7"/>
      <c r="AB1" s="7"/>
      <c r="AC1" s="7"/>
      <c r="AD1" s="7"/>
      <c r="AE1" s="7"/>
      <c r="AF1" s="7"/>
      <c r="AG1" s="7"/>
      <c r="AH1" s="7"/>
    </row>
    <row r="2" spans="1:34"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row>
    <row r="3" spans="1:34" x14ac:dyDescent="0.3">
      <c r="A3" s="6"/>
      <c r="B3" s="6"/>
      <c r="C3" s="6"/>
      <c r="D3" s="6"/>
      <c r="E3" s="6"/>
      <c r="F3" s="6"/>
      <c r="G3" s="6"/>
      <c r="H3" s="6"/>
      <c r="I3" s="6"/>
      <c r="J3" s="6"/>
      <c r="K3" s="6"/>
      <c r="L3" s="6"/>
      <c r="M3" s="6"/>
      <c r="N3" s="6"/>
      <c r="O3" s="6"/>
      <c r="P3" s="6"/>
      <c r="Q3" s="6"/>
      <c r="R3" s="6"/>
      <c r="S3" s="6"/>
      <c r="T3" s="6"/>
      <c r="U3" s="6"/>
      <c r="V3" s="6"/>
      <c r="W3" s="6"/>
      <c r="X3" s="6"/>
      <c r="Y3" s="6"/>
      <c r="Z3" s="6"/>
      <c r="AA3" s="6"/>
      <c r="AB3" s="6"/>
      <c r="AC3" s="6"/>
    </row>
    <row r="4" spans="1:34" x14ac:dyDescent="0.3">
      <c r="A4" s="6"/>
      <c r="B4" s="6"/>
      <c r="C4" s="6"/>
      <c r="D4" s="6"/>
      <c r="E4" s="6"/>
      <c r="F4" s="6"/>
      <c r="G4" s="6"/>
      <c r="H4" s="6"/>
      <c r="I4" s="6"/>
      <c r="J4" s="6"/>
      <c r="K4" s="6"/>
      <c r="L4" s="6"/>
      <c r="M4" s="6"/>
      <c r="N4" s="6"/>
      <c r="O4" s="6"/>
      <c r="P4" s="6"/>
      <c r="Q4" s="6"/>
      <c r="R4" s="6"/>
      <c r="S4" s="6"/>
      <c r="T4" s="6"/>
      <c r="U4" s="6"/>
      <c r="V4" s="6"/>
      <c r="W4" s="6"/>
      <c r="X4" s="6"/>
      <c r="Y4" s="6"/>
      <c r="Z4" s="6"/>
      <c r="AA4" s="6"/>
      <c r="AB4" s="6"/>
      <c r="AC4" s="6"/>
    </row>
    <row r="5" spans="1:34" x14ac:dyDescent="0.3">
      <c r="A5" s="6"/>
      <c r="B5" s="6"/>
      <c r="C5" s="6"/>
      <c r="D5" s="6"/>
      <c r="E5" s="6"/>
      <c r="F5" s="6"/>
      <c r="G5" s="6"/>
      <c r="H5" s="6"/>
      <c r="I5" s="6"/>
      <c r="J5" s="6"/>
      <c r="K5" s="6"/>
      <c r="L5" s="6"/>
      <c r="M5" s="6"/>
      <c r="N5" s="6"/>
      <c r="O5" s="6"/>
      <c r="P5" s="6"/>
      <c r="Q5" s="6"/>
      <c r="R5" s="6"/>
      <c r="S5" s="6"/>
      <c r="T5" s="6"/>
      <c r="U5" s="6"/>
      <c r="V5" s="6"/>
      <c r="W5" s="6"/>
      <c r="X5" s="6"/>
      <c r="Y5" s="6"/>
      <c r="Z5" s="6"/>
      <c r="AA5" s="6"/>
      <c r="AB5" s="6"/>
      <c r="AC5" s="6"/>
    </row>
    <row r="6" spans="1:34"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row>
    <row r="7" spans="1:34" x14ac:dyDescent="0.3">
      <c r="A7" s="6"/>
      <c r="B7" s="6"/>
      <c r="C7" s="6"/>
      <c r="D7" s="6"/>
      <c r="E7" s="6"/>
      <c r="F7" s="6"/>
      <c r="G7" s="6"/>
      <c r="H7" s="6"/>
      <c r="I7" s="6"/>
      <c r="J7" s="6"/>
      <c r="K7" s="6"/>
      <c r="L7" s="6"/>
      <c r="M7" s="6"/>
      <c r="N7" s="6"/>
      <c r="O7" s="6"/>
      <c r="P7" s="6"/>
      <c r="Q7" s="6"/>
      <c r="R7" s="6"/>
      <c r="S7" s="6"/>
      <c r="T7" s="6"/>
      <c r="U7" s="6"/>
      <c r="V7" s="6"/>
      <c r="W7" s="6"/>
      <c r="X7" s="6"/>
      <c r="Y7" s="6"/>
      <c r="Z7" s="6"/>
      <c r="AA7" s="6"/>
      <c r="AB7" s="6"/>
      <c r="AC7" s="6"/>
    </row>
    <row r="8" spans="1:34"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row>
    <row r="9" spans="1:34" x14ac:dyDescent="0.3">
      <c r="A9" s="6"/>
      <c r="B9" s="6"/>
      <c r="C9" s="6"/>
      <c r="D9" s="6"/>
      <c r="E9" s="6"/>
      <c r="F9" s="6"/>
      <c r="G9" s="6"/>
      <c r="H9" s="6"/>
      <c r="I9" s="6"/>
      <c r="J9" s="6"/>
      <c r="K9" s="6"/>
      <c r="L9" s="6"/>
      <c r="M9" s="6"/>
      <c r="N9" s="6"/>
      <c r="O9" s="6"/>
      <c r="P9" s="6"/>
      <c r="Q9" s="6"/>
      <c r="R9" s="6"/>
      <c r="S9" s="6"/>
      <c r="T9" s="6"/>
      <c r="U9" s="6"/>
      <c r="V9" s="6"/>
      <c r="W9" s="6"/>
      <c r="X9" s="6"/>
      <c r="Y9" s="6"/>
      <c r="Z9" s="6"/>
      <c r="AA9" s="6"/>
      <c r="AB9" s="6"/>
      <c r="AC9" s="6"/>
    </row>
    <row r="10" spans="1:34"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row>
    <row r="11" spans="1:34" x14ac:dyDescent="0.3">
      <c r="A11" s="6"/>
      <c r="B11" s="6"/>
      <c r="C11" s="6"/>
      <c r="D11" s="6"/>
      <c r="E11" s="6"/>
      <c r="F11" s="6"/>
      <c r="G11" s="6"/>
      <c r="H11" s="6"/>
      <c r="I11" s="6"/>
      <c r="J11" s="6"/>
      <c r="K11" s="6"/>
      <c r="L11" s="6"/>
      <c r="M11" s="6"/>
      <c r="N11" s="6"/>
      <c r="O11" s="6"/>
      <c r="P11" s="6"/>
      <c r="Q11" s="6"/>
      <c r="R11" s="6"/>
      <c r="S11" s="6"/>
      <c r="T11" s="6"/>
      <c r="U11" s="6"/>
      <c r="V11" s="6"/>
      <c r="W11" s="6"/>
      <c r="X11" s="6"/>
      <c r="Y11" s="6"/>
      <c r="Z11" s="6"/>
      <c r="AA11" s="6"/>
      <c r="AB11" s="6"/>
      <c r="AC11" s="6"/>
    </row>
    <row r="12" spans="1:34" x14ac:dyDescent="0.3">
      <c r="A12" s="6"/>
      <c r="B12" s="6"/>
      <c r="C12" s="6"/>
      <c r="D12" s="6"/>
      <c r="E12" s="6"/>
      <c r="F12" s="6"/>
      <c r="G12" s="6"/>
      <c r="H12" s="6"/>
      <c r="I12" s="6"/>
      <c r="J12" s="6"/>
      <c r="K12" s="6"/>
      <c r="L12" s="6"/>
      <c r="M12" s="6"/>
      <c r="N12" s="6"/>
      <c r="O12" s="6"/>
      <c r="P12" s="6"/>
      <c r="Q12" s="6"/>
      <c r="R12" s="6"/>
      <c r="S12" s="6"/>
      <c r="T12" s="6"/>
      <c r="U12" s="6"/>
      <c r="V12" s="6"/>
      <c r="W12" s="6"/>
      <c r="X12" s="6"/>
      <c r="Y12" s="6"/>
      <c r="Z12" s="6"/>
      <c r="AA12" s="6"/>
      <c r="AB12" s="6"/>
      <c r="AC12" s="6"/>
    </row>
    <row r="13" spans="1:34" x14ac:dyDescent="0.3">
      <c r="A13" s="6"/>
      <c r="B13" s="6"/>
      <c r="C13" s="6"/>
      <c r="D13" s="6"/>
      <c r="E13" s="6"/>
      <c r="F13" s="6"/>
      <c r="G13" s="6"/>
      <c r="H13" s="6"/>
      <c r="I13" s="6"/>
      <c r="J13" s="6"/>
      <c r="K13" s="6"/>
      <c r="L13" s="6"/>
      <c r="M13" s="6"/>
      <c r="N13" s="6"/>
      <c r="O13" s="6"/>
      <c r="P13" s="6"/>
      <c r="Q13" s="6"/>
      <c r="R13" s="6"/>
      <c r="S13" s="6"/>
      <c r="T13" s="6"/>
      <c r="U13" s="6"/>
      <c r="V13" s="6"/>
      <c r="W13" s="6"/>
      <c r="X13" s="6"/>
      <c r="Y13" s="6"/>
      <c r="Z13" s="6"/>
      <c r="AA13" s="6"/>
      <c r="AB13" s="6"/>
      <c r="AC13" s="6"/>
    </row>
    <row r="14" spans="1:34"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row>
    <row r="15" spans="1:34" x14ac:dyDescent="0.3">
      <c r="A15" s="6"/>
      <c r="B15" s="6"/>
      <c r="C15" s="6"/>
      <c r="D15" s="6"/>
      <c r="E15" s="6"/>
      <c r="F15" s="6"/>
      <c r="G15" s="6"/>
      <c r="H15" s="6"/>
      <c r="I15" s="6"/>
      <c r="J15" s="6"/>
      <c r="K15" s="6"/>
      <c r="L15" s="6"/>
      <c r="M15" s="6"/>
      <c r="N15" s="6"/>
      <c r="O15" s="6"/>
      <c r="P15" s="6"/>
      <c r="Q15" s="6"/>
      <c r="R15" s="6"/>
      <c r="S15" s="6"/>
      <c r="T15" s="6"/>
      <c r="U15" s="6"/>
      <c r="V15" s="6"/>
      <c r="W15" s="6"/>
      <c r="X15" s="6"/>
      <c r="Y15" s="6"/>
      <c r="Z15" s="6"/>
      <c r="AA15" s="6"/>
      <c r="AB15" s="6"/>
      <c r="AC15" s="6"/>
    </row>
    <row r="16" spans="1:34" x14ac:dyDescent="0.3">
      <c r="A16" s="6"/>
      <c r="B16" s="6"/>
      <c r="C16" s="6"/>
      <c r="D16" s="6"/>
      <c r="E16" s="6"/>
      <c r="F16" s="6"/>
      <c r="G16" s="6"/>
      <c r="H16" s="6"/>
      <c r="I16" s="6"/>
      <c r="J16" s="6"/>
      <c r="K16" s="6"/>
      <c r="L16" s="6"/>
      <c r="M16" s="6"/>
      <c r="N16" s="6"/>
      <c r="O16" s="6"/>
      <c r="P16" s="6"/>
      <c r="Q16" s="6"/>
      <c r="R16" s="6"/>
      <c r="S16" s="6"/>
      <c r="T16" s="6"/>
      <c r="U16" s="6"/>
      <c r="V16" s="6"/>
      <c r="W16" s="6"/>
      <c r="X16" s="6"/>
      <c r="Y16" s="6"/>
      <c r="Z16" s="6"/>
      <c r="AA16" s="6"/>
      <c r="AB16" s="6"/>
      <c r="AC16" s="6"/>
    </row>
    <row r="17" spans="1:29"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row>
    <row r="18" spans="1:29" x14ac:dyDescent="0.3">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row>
    <row r="19" spans="1:29" x14ac:dyDescent="0.3">
      <c r="A19" s="6"/>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row>
    <row r="20" spans="1:29" x14ac:dyDescent="0.3">
      <c r="A20" s="6"/>
      <c r="B20" s="6"/>
      <c r="C20" s="6"/>
      <c r="D20" s="6"/>
      <c r="E20" s="6"/>
      <c r="F20" s="6"/>
      <c r="G20" s="6"/>
      <c r="H20" s="6"/>
      <c r="I20" s="6"/>
      <c r="J20" s="6"/>
      <c r="K20" s="6"/>
      <c r="L20" s="6"/>
      <c r="M20" s="6"/>
      <c r="N20" s="6"/>
      <c r="O20" s="6"/>
      <c r="P20" s="6"/>
      <c r="Q20" s="6"/>
      <c r="R20" s="6"/>
      <c r="S20" s="6"/>
      <c r="T20" s="6"/>
      <c r="U20" s="6"/>
      <c r="V20" s="6"/>
      <c r="W20" s="6"/>
      <c r="X20" s="6"/>
      <c r="Y20" s="6"/>
      <c r="Z20" s="6"/>
      <c r="AA20" s="6"/>
      <c r="AB20" s="6"/>
      <c r="AC20" s="6"/>
    </row>
    <row r="21" spans="1:29" x14ac:dyDescent="0.3">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row>
    <row r="22" spans="1:29" x14ac:dyDescent="0.3">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row>
    <row r="23" spans="1:29" x14ac:dyDescent="0.3">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row>
    <row r="24" spans="1:29" x14ac:dyDescent="0.3">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row>
    <row r="25" spans="1:29" x14ac:dyDescent="0.3">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row>
    <row r="26" spans="1:29" x14ac:dyDescent="0.3">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row>
    <row r="27" spans="1:29" x14ac:dyDescent="0.3">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row>
    <row r="28" spans="1:29" x14ac:dyDescent="0.3">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row>
    <row r="29" spans="1:29" x14ac:dyDescent="0.3">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row>
    <row r="30" spans="1:29" x14ac:dyDescent="0.3">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row>
    <row r="31" spans="1:29" x14ac:dyDescent="0.3">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row>
    <row r="32" spans="1:29"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row>
    <row r="33" spans="1:29" x14ac:dyDescent="0.3">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row>
    <row r="34" spans="1:29" x14ac:dyDescent="0.3">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row>
    <row r="35" spans="1:29" x14ac:dyDescent="0.3">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row>
    <row r="36" spans="1:29" x14ac:dyDescent="0.3">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row>
    <row r="37" spans="1:29" x14ac:dyDescent="0.3">
      <c r="A37" s="6"/>
      <c r="B37" s="6"/>
      <c r="C37" s="6"/>
      <c r="D37" s="6"/>
      <c r="E37" s="6"/>
      <c r="F37" s="6"/>
      <c r="G37" s="6"/>
      <c r="H37" s="6"/>
      <c r="I37" s="6"/>
      <c r="J37" s="6"/>
      <c r="K37" s="6"/>
      <c r="L37" s="6"/>
      <c r="M37" s="6"/>
      <c r="N37" s="6"/>
      <c r="O37" s="6"/>
      <c r="P37" s="6"/>
      <c r="Q37" s="6"/>
      <c r="R37" s="6"/>
      <c r="S37" s="6"/>
      <c r="T37" s="6"/>
      <c r="U37" s="6"/>
      <c r="V37" s="6"/>
      <c r="W37" s="6"/>
      <c r="X37" s="6"/>
      <c r="Y37" s="6"/>
      <c r="Z37" s="6"/>
      <c r="AA37" s="6"/>
      <c r="AB37" s="6"/>
      <c r="AC37" s="6"/>
    </row>
    <row r="38" spans="1:29" x14ac:dyDescent="0.3">
      <c r="A38" s="6"/>
      <c r="B38" s="6"/>
      <c r="C38" s="6"/>
      <c r="D38" s="6"/>
      <c r="E38" s="6"/>
      <c r="F38" s="6"/>
      <c r="G38" s="6"/>
      <c r="H38" s="6"/>
      <c r="I38" s="6"/>
      <c r="J38" s="6"/>
      <c r="K38" s="6"/>
      <c r="L38" s="6"/>
      <c r="M38" s="6"/>
      <c r="N38" s="6"/>
      <c r="O38" s="6"/>
      <c r="P38" s="6"/>
      <c r="Q38" s="6"/>
      <c r="R38" s="6"/>
      <c r="S38" s="6"/>
      <c r="T38" s="6"/>
      <c r="U38" s="6"/>
      <c r="V38" s="6"/>
      <c r="W38" s="6"/>
      <c r="X38" s="6"/>
      <c r="Y38" s="6"/>
      <c r="Z38" s="6"/>
      <c r="AA38" s="6"/>
      <c r="AB38" s="6"/>
      <c r="AC38" s="6"/>
    </row>
    <row r="39" spans="1:29" x14ac:dyDescent="0.3">
      <c r="A39" s="6"/>
      <c r="B39" s="6"/>
      <c r="C39" s="6"/>
      <c r="D39" s="6"/>
      <c r="E39" s="6"/>
      <c r="F39" s="6"/>
      <c r="G39" s="6"/>
      <c r="H39" s="6"/>
      <c r="I39" s="6"/>
      <c r="J39" s="6"/>
      <c r="K39" s="6"/>
      <c r="L39" s="6"/>
      <c r="M39" s="6"/>
      <c r="N39" s="6"/>
      <c r="O39" s="6"/>
      <c r="P39" s="6"/>
      <c r="Q39" s="6"/>
      <c r="R39" s="6"/>
      <c r="S39" s="6"/>
      <c r="T39" s="6"/>
      <c r="U39" s="6"/>
      <c r="V39" s="6"/>
      <c r="W39" s="6"/>
      <c r="X39" s="6"/>
      <c r="Y39" s="6"/>
      <c r="Z39" s="6"/>
      <c r="AA39" s="6"/>
      <c r="AB39" s="6"/>
      <c r="AC39" s="6"/>
    </row>
    <row r="40" spans="1:29" x14ac:dyDescent="0.3">
      <c r="A40" s="6"/>
      <c r="B40" s="6"/>
      <c r="C40" s="6"/>
      <c r="D40" s="6"/>
      <c r="E40" s="6"/>
      <c r="F40" s="6"/>
      <c r="G40" s="6"/>
      <c r="H40" s="6"/>
      <c r="I40" s="6"/>
      <c r="J40" s="6"/>
      <c r="K40" s="6"/>
      <c r="L40" s="6"/>
      <c r="M40" s="6"/>
      <c r="N40" s="6"/>
      <c r="O40" s="6"/>
      <c r="P40" s="6"/>
      <c r="Q40" s="6"/>
      <c r="R40" s="6"/>
      <c r="S40" s="6"/>
      <c r="T40" s="6"/>
      <c r="U40" s="6"/>
      <c r="V40" s="6"/>
      <c r="W40" s="6"/>
      <c r="X40" s="6"/>
      <c r="Y40" s="6"/>
      <c r="Z40" s="6"/>
      <c r="AA40" s="6"/>
      <c r="AB40" s="6"/>
      <c r="AC40" s="6"/>
    </row>
    <row r="41" spans="1:29"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row>
    <row r="42" spans="1:29" x14ac:dyDescent="0.3">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row>
    <row r="43" spans="1:29" x14ac:dyDescent="0.3">
      <c r="A43" s="6"/>
      <c r="B43" s="6"/>
      <c r="C43" s="6"/>
      <c r="D43" s="6"/>
      <c r="E43" s="6"/>
      <c r="F43" s="6"/>
      <c r="G43" s="6"/>
      <c r="H43" s="6"/>
      <c r="I43" s="6"/>
      <c r="J43" s="6"/>
      <c r="K43" s="6"/>
      <c r="L43" s="6"/>
      <c r="M43" s="6"/>
      <c r="N43" s="6"/>
      <c r="O43" s="6"/>
      <c r="P43" s="6"/>
      <c r="Q43" s="6"/>
      <c r="R43" s="6"/>
      <c r="S43" s="6"/>
      <c r="T43" s="6"/>
      <c r="U43" s="6"/>
      <c r="V43" s="6"/>
      <c r="W43" s="6"/>
      <c r="X43" s="6"/>
      <c r="Y43" s="6"/>
      <c r="Z43" s="6"/>
      <c r="AA43" s="6"/>
      <c r="AB43" s="6"/>
      <c r="AC43" s="6"/>
    </row>
    <row r="44" spans="1:29" x14ac:dyDescent="0.3">
      <c r="A44" s="6"/>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row>
    <row r="45" spans="1:29" x14ac:dyDescent="0.3">
      <c r="A45" s="6"/>
      <c r="B45" s="6"/>
      <c r="C45" s="6"/>
      <c r="D45" s="6"/>
      <c r="E45" s="6"/>
      <c r="F45" s="6"/>
      <c r="G45" s="6"/>
      <c r="H45" s="6"/>
      <c r="I45" s="6"/>
      <c r="J45" s="6"/>
      <c r="K45" s="6"/>
      <c r="L45" s="6"/>
      <c r="M45" s="6"/>
      <c r="N45" s="6"/>
      <c r="O45" s="6"/>
      <c r="P45" s="6"/>
      <c r="Q45" s="6"/>
      <c r="R45" s="6"/>
      <c r="S45" s="6"/>
      <c r="T45" s="6"/>
      <c r="U45" s="6"/>
      <c r="V45" s="6"/>
      <c r="W45" s="6"/>
      <c r="X45" s="6"/>
      <c r="Y45" s="6"/>
      <c r="Z45" s="6"/>
      <c r="AA45" s="6"/>
      <c r="AB45" s="6"/>
      <c r="AC45" s="6"/>
    </row>
    <row r="46" spans="1:29" x14ac:dyDescent="0.3">
      <c r="A46" s="6"/>
      <c r="B46" s="6"/>
      <c r="C46" s="6"/>
      <c r="D46" s="6"/>
      <c r="E46" s="6"/>
      <c r="F46" s="6"/>
      <c r="G46" s="6"/>
      <c r="H46" s="6"/>
      <c r="I46" s="6"/>
      <c r="J46" s="6"/>
      <c r="K46" s="6"/>
      <c r="L46" s="6"/>
      <c r="M46" s="6"/>
      <c r="N46" s="6"/>
      <c r="O46" s="6"/>
      <c r="P46" s="6"/>
      <c r="Q46" s="6"/>
      <c r="R46" s="6"/>
      <c r="S46" s="6"/>
      <c r="T46" s="6"/>
      <c r="U46" s="6"/>
      <c r="V46" s="6"/>
      <c r="W46" s="6"/>
      <c r="X46" s="6"/>
      <c r="Y46" s="6"/>
      <c r="Z46" s="6"/>
      <c r="AA46" s="6"/>
      <c r="AB46" s="6"/>
      <c r="AC46" s="6"/>
    </row>
    <row r="47" spans="1:29" x14ac:dyDescent="0.3">
      <c r="A47" s="6"/>
      <c r="B47" s="6"/>
      <c r="C47" s="6"/>
      <c r="D47" s="6"/>
      <c r="E47" s="6"/>
      <c r="F47" s="6"/>
      <c r="G47" s="6"/>
      <c r="H47" s="6"/>
      <c r="I47" s="6"/>
      <c r="J47" s="6"/>
      <c r="K47" s="6"/>
      <c r="L47" s="6"/>
      <c r="M47" s="6"/>
      <c r="N47" s="6"/>
      <c r="O47" s="6"/>
      <c r="P47" s="6"/>
      <c r="Q47" s="6"/>
      <c r="R47" s="6"/>
      <c r="S47" s="6"/>
      <c r="T47" s="6"/>
      <c r="U47" s="6"/>
      <c r="V47" s="6"/>
      <c r="W47" s="6"/>
      <c r="X47" s="6"/>
      <c r="Y47" s="6"/>
      <c r="Z47" s="6"/>
      <c r="AA47" s="6"/>
      <c r="AB47" s="6"/>
      <c r="AC47" s="6"/>
    </row>
    <row r="48" spans="1:29" x14ac:dyDescent="0.3">
      <c r="A48" s="6"/>
      <c r="B48" s="6"/>
      <c r="C48" s="6"/>
      <c r="D48" s="6"/>
      <c r="E48" s="6"/>
      <c r="F48" s="6"/>
      <c r="G48" s="6"/>
      <c r="H48" s="6"/>
      <c r="I48" s="6"/>
      <c r="J48" s="6"/>
      <c r="K48" s="6"/>
      <c r="L48" s="6"/>
      <c r="M48" s="6"/>
      <c r="N48" s="6"/>
      <c r="O48" s="6"/>
      <c r="P48" s="6"/>
      <c r="Q48" s="6"/>
      <c r="R48" s="6"/>
      <c r="S48" s="6"/>
      <c r="T48" s="6"/>
      <c r="U48" s="6"/>
      <c r="V48" s="6"/>
      <c r="W48" s="6"/>
      <c r="X48" s="6"/>
      <c r="Y48" s="6"/>
      <c r="Z48" s="6"/>
      <c r="AA48" s="6"/>
      <c r="AB48" s="6"/>
      <c r="AC48" s="6"/>
    </row>
    <row r="49" spans="1:29" x14ac:dyDescent="0.3">
      <c r="A49" s="6"/>
      <c r="B49" s="6"/>
      <c r="C49" s="6"/>
      <c r="D49" s="6"/>
      <c r="E49" s="6"/>
      <c r="F49" s="6"/>
      <c r="G49" s="6"/>
      <c r="H49" s="6"/>
      <c r="I49" s="6"/>
      <c r="J49" s="6"/>
      <c r="K49" s="6"/>
      <c r="L49" s="6"/>
      <c r="M49" s="6"/>
      <c r="N49" s="6"/>
      <c r="O49" s="6"/>
      <c r="P49" s="6"/>
      <c r="Q49" s="6"/>
      <c r="R49" s="6"/>
      <c r="S49" s="6"/>
      <c r="T49" s="6"/>
      <c r="U49" s="6"/>
      <c r="V49" s="6"/>
      <c r="W49" s="6"/>
      <c r="X49" s="6"/>
      <c r="Y49" s="6"/>
      <c r="Z49" s="6"/>
      <c r="AA49" s="6"/>
      <c r="AB49" s="6"/>
      <c r="AC49" s="6"/>
    </row>
  </sheetData>
  <mergeCells count="1">
    <mergeCell ref="A1:V1"/>
  </mergeCells>
  <phoneticPr fontId="3" type="noConversion"/>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EA53-1B4B-464C-B7E6-1C74FD49B32A}">
  <dimension ref="A3:B6"/>
  <sheetViews>
    <sheetView workbookViewId="0">
      <selection activeCell="H5" sqref="H5"/>
    </sheetView>
  </sheetViews>
  <sheetFormatPr defaultRowHeight="14.4" x14ac:dyDescent="0.3"/>
  <cols>
    <col min="1" max="1" width="12.5546875" bestFit="1" customWidth="1"/>
    <col min="2" max="2" width="15.88671875" bestFit="1" customWidth="1"/>
  </cols>
  <sheetData>
    <row r="3" spans="1:2" x14ac:dyDescent="0.3">
      <c r="A3" s="3" t="s">
        <v>1200</v>
      </c>
      <c r="B3" t="s">
        <v>1201</v>
      </c>
    </row>
    <row r="4" spans="1:2" x14ac:dyDescent="0.3">
      <c r="A4" s="4" t="s">
        <v>1216</v>
      </c>
      <c r="B4">
        <v>214</v>
      </c>
    </row>
    <row r="5" spans="1:2" x14ac:dyDescent="0.3">
      <c r="A5" s="4" t="s">
        <v>1217</v>
      </c>
      <c r="B5">
        <v>151</v>
      </c>
    </row>
    <row r="6" spans="1:2" x14ac:dyDescent="0.3">
      <c r="A6" s="4" t="s">
        <v>1215</v>
      </c>
      <c r="B6">
        <v>135</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3B28A-27B7-4534-B4BC-7A2182E0F8B3}">
  <dimension ref="A3:B5"/>
  <sheetViews>
    <sheetView workbookViewId="0">
      <selection activeCell="L12" sqref="L12"/>
    </sheetView>
  </sheetViews>
  <sheetFormatPr defaultRowHeight="14.4" x14ac:dyDescent="0.3"/>
  <cols>
    <col min="1" max="1" width="12.5546875" bestFit="1" customWidth="1"/>
    <col min="2" max="2" width="17.21875" bestFit="1" customWidth="1"/>
  </cols>
  <sheetData>
    <row r="3" spans="1:2" x14ac:dyDescent="0.3">
      <c r="A3" s="3" t="s">
        <v>1200</v>
      </c>
      <c r="B3" t="s">
        <v>1202</v>
      </c>
    </row>
    <row r="4" spans="1:2" x14ac:dyDescent="0.3">
      <c r="A4" s="4" t="s">
        <v>1159</v>
      </c>
      <c r="B4">
        <v>12633500</v>
      </c>
    </row>
    <row r="5" spans="1:2" x14ac:dyDescent="0.3">
      <c r="A5" s="4" t="s">
        <v>1158</v>
      </c>
      <c r="B5">
        <v>13016000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813BD-0502-43B2-8BFC-9285309D8D62}">
  <dimension ref="A3:B8"/>
  <sheetViews>
    <sheetView workbookViewId="0">
      <selection activeCell="P20" sqref="P20"/>
    </sheetView>
  </sheetViews>
  <sheetFormatPr defaultRowHeight="14.4" x14ac:dyDescent="0.3"/>
  <cols>
    <col min="1" max="1" width="12.5546875" bestFit="1" customWidth="1"/>
    <col min="2" max="2" width="17.21875" bestFit="1" customWidth="1"/>
  </cols>
  <sheetData>
    <row r="3" spans="1:2" x14ac:dyDescent="0.3">
      <c r="A3" s="3" t="s">
        <v>1200</v>
      </c>
      <c r="B3" t="s">
        <v>1202</v>
      </c>
    </row>
    <row r="4" spans="1:2" x14ac:dyDescent="0.3">
      <c r="A4" s="4" t="s">
        <v>1185</v>
      </c>
      <c r="B4">
        <v>4588000</v>
      </c>
    </row>
    <row r="5" spans="1:2" x14ac:dyDescent="0.3">
      <c r="A5" s="4" t="s">
        <v>1183</v>
      </c>
      <c r="B5">
        <v>3937000</v>
      </c>
    </row>
    <row r="6" spans="1:2" x14ac:dyDescent="0.3">
      <c r="A6" s="4" t="s">
        <v>1181</v>
      </c>
      <c r="B6">
        <v>3937000</v>
      </c>
    </row>
    <row r="7" spans="1:2" x14ac:dyDescent="0.3">
      <c r="A7" s="4" t="s">
        <v>1179</v>
      </c>
      <c r="B7">
        <v>3590000</v>
      </c>
    </row>
    <row r="8" spans="1:2" x14ac:dyDescent="0.3">
      <c r="A8" s="4" t="s">
        <v>1180</v>
      </c>
      <c r="B8">
        <v>3582500</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056073-0AB0-479C-BF2E-D6EA339133C5}">
  <dimension ref="A3:C7"/>
  <sheetViews>
    <sheetView workbookViewId="0">
      <selection activeCell="AB15" sqref="AB15"/>
    </sheetView>
  </sheetViews>
  <sheetFormatPr defaultRowHeight="14.4" x14ac:dyDescent="0.3"/>
  <cols>
    <col min="1" max="1" width="15.88671875" bestFit="1" customWidth="1"/>
    <col min="2" max="2" width="15.5546875" bestFit="1" customWidth="1"/>
    <col min="3" max="3" width="7" bestFit="1" customWidth="1"/>
    <col min="4" max="4" width="10.77734375" bestFit="1" customWidth="1"/>
    <col min="5" max="49" width="3" bestFit="1" customWidth="1"/>
    <col min="50" max="50" width="10.77734375" bestFit="1" customWidth="1"/>
  </cols>
  <sheetData>
    <row r="3" spans="1:3" x14ac:dyDescent="0.3">
      <c r="A3" s="3" t="s">
        <v>1201</v>
      </c>
      <c r="B3" s="3" t="s">
        <v>1199</v>
      </c>
    </row>
    <row r="4" spans="1:3" x14ac:dyDescent="0.3">
      <c r="A4" s="3" t="s">
        <v>1200</v>
      </c>
      <c r="B4" t="s">
        <v>1159</v>
      </c>
      <c r="C4" t="s">
        <v>1158</v>
      </c>
    </row>
    <row r="5" spans="1:3" x14ac:dyDescent="0.3">
      <c r="A5" s="4" t="s">
        <v>1216</v>
      </c>
      <c r="B5" s="5">
        <v>0.22</v>
      </c>
      <c r="C5" s="5">
        <v>0.20799999999999999</v>
      </c>
    </row>
    <row r="6" spans="1:3" x14ac:dyDescent="0.3">
      <c r="A6" s="4" t="s">
        <v>1217</v>
      </c>
      <c r="B6" s="5">
        <v>0.14399999999999999</v>
      </c>
      <c r="C6" s="5">
        <v>0.158</v>
      </c>
    </row>
    <row r="7" spans="1:3" x14ac:dyDescent="0.3">
      <c r="A7" s="4" t="s">
        <v>1215</v>
      </c>
      <c r="B7" s="5">
        <v>0.13600000000000001</v>
      </c>
      <c r="C7" s="5">
        <v>0.13400000000000001</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E9BBE6-DB23-4DC5-85CA-EA51DBCAF014}">
  <dimension ref="A3:B8"/>
  <sheetViews>
    <sheetView workbookViewId="0">
      <selection activeCell="B5" sqref="B3:B5"/>
    </sheetView>
  </sheetViews>
  <sheetFormatPr defaultRowHeight="14.4" x14ac:dyDescent="0.3"/>
  <cols>
    <col min="1" max="1" width="12.5546875" bestFit="1" customWidth="1"/>
    <col min="2" max="2" width="15.88671875" bestFit="1" customWidth="1"/>
    <col min="3" max="501" width="8.6640625" bestFit="1" customWidth="1"/>
    <col min="502" max="502" width="10.77734375" bestFit="1" customWidth="1"/>
  </cols>
  <sheetData>
    <row r="3" spans="1:2" x14ac:dyDescent="0.3">
      <c r="A3" s="3" t="s">
        <v>1200</v>
      </c>
      <c r="B3" t="s">
        <v>1201</v>
      </c>
    </row>
    <row r="4" spans="1:2" x14ac:dyDescent="0.3">
      <c r="A4" s="4" t="s">
        <v>1194</v>
      </c>
      <c r="B4">
        <v>110</v>
      </c>
    </row>
    <row r="5" spans="1:2" x14ac:dyDescent="0.3">
      <c r="A5" s="4" t="s">
        <v>1195</v>
      </c>
      <c r="B5">
        <v>99</v>
      </c>
    </row>
    <row r="6" spans="1:2" x14ac:dyDescent="0.3">
      <c r="A6" s="4" t="s">
        <v>1193</v>
      </c>
      <c r="B6">
        <v>99</v>
      </c>
    </row>
    <row r="7" spans="1:2" x14ac:dyDescent="0.3">
      <c r="A7" s="4" t="s">
        <v>1192</v>
      </c>
      <c r="B7">
        <v>76</v>
      </c>
    </row>
    <row r="8" spans="1:2" x14ac:dyDescent="0.3">
      <c r="A8" s="4" t="s">
        <v>1196</v>
      </c>
      <c r="B8">
        <v>116</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200EB-CBC9-4BB7-A282-204CFA109D3A}">
  <dimension ref="A3:C15"/>
  <sheetViews>
    <sheetView workbookViewId="0">
      <selection activeCell="F5" sqref="F5"/>
    </sheetView>
  </sheetViews>
  <sheetFormatPr defaultRowHeight="14.4" x14ac:dyDescent="0.3"/>
  <cols>
    <col min="1" max="1" width="12.5546875" bestFit="1" customWidth="1"/>
    <col min="2" max="2" width="15.88671875" bestFit="1" customWidth="1"/>
    <col min="3" max="3" width="17.21875" bestFit="1" customWidth="1"/>
    <col min="4" max="4" width="9.5546875" bestFit="1" customWidth="1"/>
    <col min="5" max="5" width="11.77734375" bestFit="1" customWidth="1"/>
    <col min="6" max="6" width="9.33203125" bestFit="1" customWidth="1"/>
    <col min="7" max="7" width="10.5546875" bestFit="1" customWidth="1"/>
    <col min="8" max="8" width="11.33203125" bestFit="1" customWidth="1"/>
    <col min="9" max="9" width="10.77734375" bestFit="1" customWidth="1"/>
    <col min="10" max="501" width="8.6640625" bestFit="1" customWidth="1"/>
    <col min="502" max="502" width="10.77734375" bestFit="1" customWidth="1"/>
    <col min="503" max="504" width="8.6640625" bestFit="1" customWidth="1"/>
    <col min="505" max="505" width="11.6640625" bestFit="1" customWidth="1"/>
    <col min="506" max="506" width="9" bestFit="1" customWidth="1"/>
    <col min="507" max="525" width="8.6640625" bestFit="1" customWidth="1"/>
    <col min="526" max="526" width="11.6640625" bestFit="1" customWidth="1"/>
    <col min="527" max="527" width="10.77734375" bestFit="1" customWidth="1"/>
  </cols>
  <sheetData>
    <row r="3" spans="1:3" x14ac:dyDescent="0.3">
      <c r="A3" s="3" t="s">
        <v>1200</v>
      </c>
      <c r="B3" t="s">
        <v>1201</v>
      </c>
      <c r="C3" t="s">
        <v>1202</v>
      </c>
    </row>
    <row r="4" spans="1:3" x14ac:dyDescent="0.3">
      <c r="A4" s="4" t="s">
        <v>1203</v>
      </c>
      <c r="B4">
        <v>46</v>
      </c>
      <c r="C4">
        <v>3293000</v>
      </c>
    </row>
    <row r="5" spans="1:3" x14ac:dyDescent="0.3">
      <c r="A5" s="4" t="s">
        <v>1204</v>
      </c>
      <c r="B5">
        <v>47</v>
      </c>
      <c r="C5">
        <v>2239000</v>
      </c>
    </row>
    <row r="6" spans="1:3" x14ac:dyDescent="0.3">
      <c r="A6" s="4" t="s">
        <v>1205</v>
      </c>
      <c r="B6">
        <v>44</v>
      </c>
      <c r="C6">
        <v>3093000</v>
      </c>
    </row>
    <row r="7" spans="1:3" x14ac:dyDescent="0.3">
      <c r="A7" s="4" t="s">
        <v>1206</v>
      </c>
      <c r="B7">
        <v>44</v>
      </c>
      <c r="C7">
        <v>2347000</v>
      </c>
    </row>
    <row r="8" spans="1:3" x14ac:dyDescent="0.3">
      <c r="A8" s="4" t="s">
        <v>1207</v>
      </c>
      <c r="B8">
        <v>51</v>
      </c>
      <c r="C8">
        <v>1909000</v>
      </c>
    </row>
    <row r="9" spans="1:3" x14ac:dyDescent="0.3">
      <c r="A9" s="4" t="s">
        <v>1208</v>
      </c>
      <c r="B9">
        <v>38</v>
      </c>
      <c r="C9">
        <v>2074500</v>
      </c>
    </row>
    <row r="10" spans="1:3" x14ac:dyDescent="0.3">
      <c r="A10" s="4" t="s">
        <v>1209</v>
      </c>
      <c r="B10">
        <v>35</v>
      </c>
      <c r="C10">
        <v>1969000</v>
      </c>
    </row>
    <row r="11" spans="1:3" x14ac:dyDescent="0.3">
      <c r="A11" s="4" t="s">
        <v>1210</v>
      </c>
      <c r="B11">
        <v>36</v>
      </c>
      <c r="C11">
        <v>1562000</v>
      </c>
    </row>
    <row r="12" spans="1:3" x14ac:dyDescent="0.3">
      <c r="A12" s="4" t="s">
        <v>1211</v>
      </c>
      <c r="B12">
        <v>39</v>
      </c>
      <c r="C12">
        <v>1552000</v>
      </c>
    </row>
    <row r="13" spans="1:3" x14ac:dyDescent="0.3">
      <c r="A13" s="4" t="s">
        <v>1212</v>
      </c>
      <c r="B13">
        <v>45</v>
      </c>
      <c r="C13">
        <v>2490000</v>
      </c>
    </row>
    <row r="14" spans="1:3" x14ac:dyDescent="0.3">
      <c r="A14" s="4" t="s">
        <v>1213</v>
      </c>
      <c r="B14">
        <v>36</v>
      </c>
      <c r="C14">
        <v>1472000</v>
      </c>
    </row>
    <row r="15" spans="1:3" x14ac:dyDescent="0.3">
      <c r="A15" s="4" t="s">
        <v>1214</v>
      </c>
      <c r="B15">
        <v>39</v>
      </c>
      <c r="C15">
        <v>1649000</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N501"/>
  <sheetViews>
    <sheetView workbookViewId="0">
      <selection activeCell="G10" sqref="A1:N501"/>
    </sheetView>
  </sheetViews>
  <sheetFormatPr defaultRowHeight="14.4" x14ac:dyDescent="0.3"/>
  <cols>
    <col min="1" max="1" width="8.6640625" bestFit="1" customWidth="1"/>
    <col min="2" max="2" width="11.33203125" bestFit="1" customWidth="1"/>
    <col min="3" max="3" width="14.6640625" bestFit="1" customWidth="1"/>
    <col min="4" max="4" width="4.21875" bestFit="1" customWidth="1"/>
    <col min="5" max="5" width="10.33203125" bestFit="1" customWidth="1"/>
    <col min="6" max="6" width="7.109375" bestFit="1" customWidth="1"/>
    <col min="7" max="7" width="10.6640625" bestFit="1" customWidth="1"/>
    <col min="8" max="8" width="11.44140625" bestFit="1" customWidth="1"/>
    <col min="9" max="9" width="16.109375" bestFit="1" customWidth="1"/>
    <col min="10" max="10" width="8.33203125" bestFit="1" customWidth="1"/>
    <col min="11" max="11" width="10.33203125" bestFit="1" customWidth="1"/>
    <col min="12" max="12" width="10.33203125" customWidth="1"/>
    <col min="13" max="13" width="8.33203125" bestFit="1" customWidth="1"/>
    <col min="14" max="14" width="10.5546875" bestFit="1" customWidth="1"/>
  </cols>
  <sheetData>
    <row r="1" spans="1:14" x14ac:dyDescent="0.3">
      <c r="A1" s="1" t="s">
        <v>0</v>
      </c>
      <c r="B1" s="1" t="s">
        <v>1</v>
      </c>
      <c r="C1" s="1" t="s">
        <v>2</v>
      </c>
      <c r="D1" s="1" t="s">
        <v>3</v>
      </c>
      <c r="E1" s="1" t="s">
        <v>1198</v>
      </c>
      <c r="F1" s="1" t="s">
        <v>4</v>
      </c>
      <c r="G1" s="1" t="s">
        <v>5</v>
      </c>
      <c r="H1" s="1" t="s">
        <v>6</v>
      </c>
      <c r="I1" s="1" t="s">
        <v>7</v>
      </c>
      <c r="J1" s="1" t="s">
        <v>8</v>
      </c>
      <c r="K1" s="1" t="s">
        <v>9</v>
      </c>
      <c r="L1" s="1" t="s">
        <v>1197</v>
      </c>
      <c r="M1" s="1" t="s">
        <v>10</v>
      </c>
      <c r="N1" s="1" t="s">
        <v>11</v>
      </c>
    </row>
    <row r="2" spans="1:14" x14ac:dyDescent="0.3">
      <c r="A2" t="s">
        <v>12</v>
      </c>
      <c r="B2" t="s">
        <v>512</v>
      </c>
      <c r="C2" t="s">
        <v>1012</v>
      </c>
      <c r="D2">
        <v>24</v>
      </c>
      <c r="E2" t="str">
        <f>IF(D2&gt;=50,"Senior", IF(D2&gt;=30,"Adult", "Teenager"))</f>
        <v>Teenager</v>
      </c>
      <c r="F2" t="s">
        <v>1158</v>
      </c>
      <c r="G2" t="s">
        <v>1160</v>
      </c>
      <c r="H2" t="s">
        <v>1179</v>
      </c>
      <c r="I2" t="s">
        <v>1186</v>
      </c>
      <c r="J2" t="s">
        <v>1192</v>
      </c>
      <c r="K2" s="2">
        <v>45594</v>
      </c>
      <c r="L2" s="2" t="str">
        <f>TEXT(K2,"mmmm")</f>
        <v>October</v>
      </c>
      <c r="M2">
        <v>5</v>
      </c>
      <c r="N2">
        <v>12500</v>
      </c>
    </row>
    <row r="3" spans="1:14" x14ac:dyDescent="0.3">
      <c r="A3" t="s">
        <v>13</v>
      </c>
      <c r="B3" t="s">
        <v>513</v>
      </c>
      <c r="C3" t="s">
        <v>1013</v>
      </c>
      <c r="D3">
        <v>45</v>
      </c>
      <c r="E3" t="str">
        <f>IF(D3&gt;=50,"Senior", IF(D3&gt;=30,"Adult", "Teenager"))</f>
        <v>Adult</v>
      </c>
      <c r="F3" t="s">
        <v>1158</v>
      </c>
      <c r="G3" t="s">
        <v>1161</v>
      </c>
      <c r="H3" t="s">
        <v>1180</v>
      </c>
      <c r="I3" t="s">
        <v>1187</v>
      </c>
      <c r="J3" t="s">
        <v>1193</v>
      </c>
      <c r="K3" s="2">
        <v>45716</v>
      </c>
      <c r="L3" s="2" t="str">
        <f t="shared" ref="L3:L66" si="0">TEXT(K3,"mmmm")</f>
        <v>February</v>
      </c>
      <c r="M3">
        <v>5</v>
      </c>
      <c r="N3">
        <v>275000</v>
      </c>
    </row>
    <row r="4" spans="1:14" x14ac:dyDescent="0.3">
      <c r="A4" t="s">
        <v>14</v>
      </c>
      <c r="B4" t="s">
        <v>514</v>
      </c>
      <c r="C4" t="s">
        <v>1014</v>
      </c>
      <c r="D4">
        <v>48</v>
      </c>
      <c r="E4" t="str">
        <f t="shared" ref="E4:E67" si="1">IF(D4&gt;=50,"Senior", IF(D4&gt;=30,"Adult", "Teenager"))</f>
        <v>Adult</v>
      </c>
      <c r="F4" t="s">
        <v>1159</v>
      </c>
      <c r="G4" t="s">
        <v>1162</v>
      </c>
      <c r="H4" t="s">
        <v>1181</v>
      </c>
      <c r="I4" t="s">
        <v>1188</v>
      </c>
      <c r="J4" t="s">
        <v>1193</v>
      </c>
      <c r="K4" s="2">
        <v>45795</v>
      </c>
      <c r="L4" s="2" t="str">
        <f t="shared" si="0"/>
        <v>May</v>
      </c>
      <c r="M4">
        <v>3</v>
      </c>
      <c r="N4">
        <v>90000</v>
      </c>
    </row>
    <row r="5" spans="1:14" x14ac:dyDescent="0.3">
      <c r="A5" t="s">
        <v>15</v>
      </c>
      <c r="B5" t="s">
        <v>515</v>
      </c>
      <c r="C5" t="s">
        <v>1015</v>
      </c>
      <c r="D5">
        <v>57</v>
      </c>
      <c r="E5" t="str">
        <f t="shared" si="1"/>
        <v>Senior</v>
      </c>
      <c r="F5" t="s">
        <v>1158</v>
      </c>
      <c r="G5" t="s">
        <v>1163</v>
      </c>
      <c r="H5" t="s">
        <v>1182</v>
      </c>
      <c r="I5" t="s">
        <v>1189</v>
      </c>
      <c r="J5" t="s">
        <v>1194</v>
      </c>
      <c r="K5" s="2">
        <v>45879</v>
      </c>
      <c r="L5" s="2" t="str">
        <f t="shared" si="0"/>
        <v>August</v>
      </c>
      <c r="M5">
        <v>3</v>
      </c>
      <c r="N5">
        <v>6000</v>
      </c>
    </row>
    <row r="6" spans="1:14" x14ac:dyDescent="0.3">
      <c r="A6" t="s">
        <v>16</v>
      </c>
      <c r="B6" t="s">
        <v>516</v>
      </c>
      <c r="C6" t="s">
        <v>1016</v>
      </c>
      <c r="D6">
        <v>43</v>
      </c>
      <c r="E6" t="str">
        <f t="shared" si="1"/>
        <v>Adult</v>
      </c>
      <c r="F6" t="s">
        <v>1159</v>
      </c>
      <c r="G6" t="s">
        <v>1162</v>
      </c>
      <c r="H6" t="s">
        <v>1181</v>
      </c>
      <c r="I6" t="s">
        <v>1188</v>
      </c>
      <c r="J6" t="s">
        <v>1195</v>
      </c>
      <c r="K6" s="2">
        <v>45683</v>
      </c>
      <c r="L6" s="2" t="str">
        <f t="shared" si="0"/>
        <v>January</v>
      </c>
      <c r="M6">
        <v>4</v>
      </c>
      <c r="N6">
        <v>120000</v>
      </c>
    </row>
    <row r="7" spans="1:14" x14ac:dyDescent="0.3">
      <c r="A7" t="s">
        <v>17</v>
      </c>
      <c r="B7" t="s">
        <v>517</v>
      </c>
      <c r="C7" t="s">
        <v>1017</v>
      </c>
      <c r="D7">
        <v>27</v>
      </c>
      <c r="E7" t="str">
        <f t="shared" si="1"/>
        <v>Teenager</v>
      </c>
      <c r="F7" t="s">
        <v>1158</v>
      </c>
      <c r="G7" t="s">
        <v>1164</v>
      </c>
      <c r="H7" t="s">
        <v>1183</v>
      </c>
      <c r="I7" t="s">
        <v>1188</v>
      </c>
      <c r="J7" t="s">
        <v>1196</v>
      </c>
      <c r="K7" s="2">
        <v>45746</v>
      </c>
      <c r="L7" s="2" t="str">
        <f t="shared" si="0"/>
        <v>March</v>
      </c>
      <c r="M7">
        <v>1</v>
      </c>
      <c r="N7">
        <v>30000</v>
      </c>
    </row>
    <row r="8" spans="1:14" x14ac:dyDescent="0.3">
      <c r="A8" t="s">
        <v>18</v>
      </c>
      <c r="B8" t="s">
        <v>518</v>
      </c>
      <c r="C8" t="s">
        <v>1018</v>
      </c>
      <c r="D8">
        <v>37</v>
      </c>
      <c r="E8" t="str">
        <f t="shared" si="1"/>
        <v>Adult</v>
      </c>
      <c r="F8" t="s">
        <v>1158</v>
      </c>
      <c r="G8" t="s">
        <v>1165</v>
      </c>
      <c r="H8" t="s">
        <v>1179</v>
      </c>
      <c r="I8" t="s">
        <v>1190</v>
      </c>
      <c r="J8" t="s">
        <v>1194</v>
      </c>
      <c r="K8" s="2">
        <v>45896</v>
      </c>
      <c r="L8" s="2" t="str">
        <f t="shared" si="0"/>
        <v>August</v>
      </c>
      <c r="M8">
        <v>1</v>
      </c>
      <c r="N8">
        <v>15000</v>
      </c>
    </row>
    <row r="9" spans="1:14" x14ac:dyDescent="0.3">
      <c r="A9" t="s">
        <v>19</v>
      </c>
      <c r="B9" t="s">
        <v>519</v>
      </c>
      <c r="C9" t="s">
        <v>1019</v>
      </c>
      <c r="D9">
        <v>47</v>
      </c>
      <c r="E9" t="str">
        <f t="shared" si="1"/>
        <v>Adult</v>
      </c>
      <c r="F9" t="s">
        <v>1158</v>
      </c>
      <c r="G9" t="s">
        <v>1162</v>
      </c>
      <c r="H9" t="s">
        <v>1181</v>
      </c>
      <c r="I9" t="s">
        <v>1187</v>
      </c>
      <c r="J9" t="s">
        <v>1192</v>
      </c>
      <c r="K9" s="2">
        <v>45690</v>
      </c>
      <c r="L9" s="2" t="str">
        <f t="shared" si="0"/>
        <v>February</v>
      </c>
      <c r="M9">
        <v>5</v>
      </c>
      <c r="N9">
        <v>275000</v>
      </c>
    </row>
    <row r="10" spans="1:14" x14ac:dyDescent="0.3">
      <c r="A10" t="s">
        <v>20</v>
      </c>
      <c r="B10" t="s">
        <v>520</v>
      </c>
      <c r="C10" t="s">
        <v>1020</v>
      </c>
      <c r="D10">
        <v>51</v>
      </c>
      <c r="E10" t="str">
        <f t="shared" si="1"/>
        <v>Senior</v>
      </c>
      <c r="F10" t="s">
        <v>1158</v>
      </c>
      <c r="G10" t="s">
        <v>1166</v>
      </c>
      <c r="H10" t="s">
        <v>1184</v>
      </c>
      <c r="I10" t="s">
        <v>1190</v>
      </c>
      <c r="J10" t="s">
        <v>1196</v>
      </c>
      <c r="K10" s="2">
        <v>45716</v>
      </c>
      <c r="L10" s="2" t="str">
        <f t="shared" si="0"/>
        <v>February</v>
      </c>
      <c r="M10">
        <v>4</v>
      </c>
      <c r="N10">
        <v>60000</v>
      </c>
    </row>
    <row r="11" spans="1:14" x14ac:dyDescent="0.3">
      <c r="A11" t="s">
        <v>21</v>
      </c>
      <c r="B11" t="s">
        <v>521</v>
      </c>
      <c r="C11" t="s">
        <v>1021</v>
      </c>
      <c r="D11">
        <v>44</v>
      </c>
      <c r="E11" t="str">
        <f t="shared" si="1"/>
        <v>Adult</v>
      </c>
      <c r="F11" t="s">
        <v>1159</v>
      </c>
      <c r="G11" t="s">
        <v>1167</v>
      </c>
      <c r="H11" t="s">
        <v>1182</v>
      </c>
      <c r="I11" t="s">
        <v>1188</v>
      </c>
      <c r="J11" t="s">
        <v>1194</v>
      </c>
      <c r="K11" s="2">
        <v>45728</v>
      </c>
      <c r="L11" s="2" t="str">
        <f t="shared" si="0"/>
        <v>March</v>
      </c>
      <c r="M11">
        <v>5</v>
      </c>
      <c r="N11">
        <v>150000</v>
      </c>
    </row>
    <row r="12" spans="1:14" x14ac:dyDescent="0.3">
      <c r="A12" t="s">
        <v>22</v>
      </c>
      <c r="B12" t="s">
        <v>522</v>
      </c>
      <c r="C12" t="s">
        <v>1017</v>
      </c>
      <c r="D12">
        <v>49</v>
      </c>
      <c r="E12" t="str">
        <f t="shared" si="1"/>
        <v>Adult</v>
      </c>
      <c r="F12" t="s">
        <v>1158</v>
      </c>
      <c r="G12" t="s">
        <v>1168</v>
      </c>
      <c r="H12" t="s">
        <v>1185</v>
      </c>
      <c r="I12" t="s">
        <v>1188</v>
      </c>
      <c r="J12" t="s">
        <v>1194</v>
      </c>
      <c r="K12" s="2">
        <v>45912</v>
      </c>
      <c r="L12" s="2" t="str">
        <f t="shared" si="0"/>
        <v>September</v>
      </c>
      <c r="M12">
        <v>3</v>
      </c>
      <c r="N12">
        <v>90000</v>
      </c>
    </row>
    <row r="13" spans="1:14" x14ac:dyDescent="0.3">
      <c r="A13" t="s">
        <v>23</v>
      </c>
      <c r="B13" t="s">
        <v>523</v>
      </c>
      <c r="C13" t="s">
        <v>1022</v>
      </c>
      <c r="D13">
        <v>22</v>
      </c>
      <c r="E13" t="str">
        <f t="shared" si="1"/>
        <v>Teenager</v>
      </c>
      <c r="F13" t="s">
        <v>1158</v>
      </c>
      <c r="G13" t="s">
        <v>1163</v>
      </c>
      <c r="H13" t="s">
        <v>1182</v>
      </c>
      <c r="I13" t="s">
        <v>1190</v>
      </c>
      <c r="J13" t="s">
        <v>1195</v>
      </c>
      <c r="K13" s="2">
        <v>45926</v>
      </c>
      <c r="L13" s="2" t="str">
        <f t="shared" si="0"/>
        <v>September</v>
      </c>
      <c r="M13">
        <v>1</v>
      </c>
      <c r="N13">
        <v>15000</v>
      </c>
    </row>
    <row r="14" spans="1:14" x14ac:dyDescent="0.3">
      <c r="A14" t="s">
        <v>24</v>
      </c>
      <c r="B14" t="s">
        <v>524</v>
      </c>
      <c r="C14" t="s">
        <v>1023</v>
      </c>
      <c r="D14">
        <v>30</v>
      </c>
      <c r="E14" t="str">
        <f t="shared" si="1"/>
        <v>Adult</v>
      </c>
      <c r="F14" t="s">
        <v>1158</v>
      </c>
      <c r="G14" t="s">
        <v>1169</v>
      </c>
      <c r="H14" t="s">
        <v>1182</v>
      </c>
      <c r="I14" t="s">
        <v>1187</v>
      </c>
      <c r="J14" t="s">
        <v>1194</v>
      </c>
      <c r="K14" s="2">
        <v>45606</v>
      </c>
      <c r="L14" s="2" t="str">
        <f t="shared" si="0"/>
        <v>November</v>
      </c>
      <c r="M14">
        <v>1</v>
      </c>
      <c r="N14">
        <v>55000</v>
      </c>
    </row>
    <row r="15" spans="1:14" x14ac:dyDescent="0.3">
      <c r="A15" t="s">
        <v>25</v>
      </c>
      <c r="B15" t="s">
        <v>525</v>
      </c>
      <c r="C15" t="s">
        <v>1024</v>
      </c>
      <c r="D15">
        <v>32</v>
      </c>
      <c r="E15" t="str">
        <f t="shared" si="1"/>
        <v>Adult</v>
      </c>
      <c r="F15" t="s">
        <v>1158</v>
      </c>
      <c r="G15" t="s">
        <v>1170</v>
      </c>
      <c r="H15" t="s">
        <v>1183</v>
      </c>
      <c r="I15" t="s">
        <v>1187</v>
      </c>
      <c r="J15" t="s">
        <v>1194</v>
      </c>
      <c r="K15" s="2">
        <v>45683</v>
      </c>
      <c r="L15" s="2" t="str">
        <f t="shared" si="0"/>
        <v>January</v>
      </c>
      <c r="M15">
        <v>5</v>
      </c>
      <c r="N15">
        <v>275000</v>
      </c>
    </row>
    <row r="16" spans="1:14" x14ac:dyDescent="0.3">
      <c r="A16" t="s">
        <v>26</v>
      </c>
      <c r="B16" t="s">
        <v>526</v>
      </c>
      <c r="C16" t="s">
        <v>1025</v>
      </c>
      <c r="D16">
        <v>41</v>
      </c>
      <c r="E16" t="str">
        <f t="shared" si="1"/>
        <v>Adult</v>
      </c>
      <c r="F16" t="s">
        <v>1159</v>
      </c>
      <c r="G16" t="s">
        <v>1166</v>
      </c>
      <c r="H16" t="s">
        <v>1184</v>
      </c>
      <c r="I16" t="s">
        <v>1188</v>
      </c>
      <c r="J16" t="s">
        <v>1194</v>
      </c>
      <c r="K16" s="2">
        <v>45588</v>
      </c>
      <c r="L16" s="2" t="str">
        <f t="shared" si="0"/>
        <v>October</v>
      </c>
      <c r="M16">
        <v>1</v>
      </c>
      <c r="N16">
        <v>30000</v>
      </c>
    </row>
    <row r="17" spans="1:14" x14ac:dyDescent="0.3">
      <c r="A17" t="s">
        <v>27</v>
      </c>
      <c r="B17" t="s">
        <v>527</v>
      </c>
      <c r="C17" t="s">
        <v>1021</v>
      </c>
      <c r="D17">
        <v>33</v>
      </c>
      <c r="E17" t="str">
        <f t="shared" si="1"/>
        <v>Adult</v>
      </c>
      <c r="F17" t="s">
        <v>1159</v>
      </c>
      <c r="G17" t="s">
        <v>1161</v>
      </c>
      <c r="H17" t="s">
        <v>1180</v>
      </c>
      <c r="I17" t="s">
        <v>1188</v>
      </c>
      <c r="J17" t="s">
        <v>1195</v>
      </c>
      <c r="K17" s="2">
        <v>45896</v>
      </c>
      <c r="L17" s="2" t="str">
        <f t="shared" si="0"/>
        <v>August</v>
      </c>
      <c r="M17">
        <v>1</v>
      </c>
      <c r="N17">
        <v>30000</v>
      </c>
    </row>
    <row r="18" spans="1:14" x14ac:dyDescent="0.3">
      <c r="A18" t="s">
        <v>28</v>
      </c>
      <c r="B18" t="s">
        <v>528</v>
      </c>
      <c r="C18" t="s">
        <v>1026</v>
      </c>
      <c r="D18">
        <v>32</v>
      </c>
      <c r="E18" t="str">
        <f t="shared" si="1"/>
        <v>Adult</v>
      </c>
      <c r="F18" t="s">
        <v>1159</v>
      </c>
      <c r="G18" t="s">
        <v>1163</v>
      </c>
      <c r="H18" t="s">
        <v>1182</v>
      </c>
      <c r="I18" t="s">
        <v>1189</v>
      </c>
      <c r="J18" t="s">
        <v>1193</v>
      </c>
      <c r="K18" s="2">
        <v>45782</v>
      </c>
      <c r="L18" s="2" t="str">
        <f t="shared" si="0"/>
        <v>May</v>
      </c>
      <c r="M18">
        <v>4</v>
      </c>
      <c r="N18">
        <v>8000</v>
      </c>
    </row>
    <row r="19" spans="1:14" x14ac:dyDescent="0.3">
      <c r="A19" t="s">
        <v>29</v>
      </c>
      <c r="B19" t="s">
        <v>529</v>
      </c>
      <c r="C19" t="s">
        <v>1027</v>
      </c>
      <c r="D19">
        <v>25</v>
      </c>
      <c r="E19" t="str">
        <f t="shared" si="1"/>
        <v>Teenager</v>
      </c>
      <c r="F19" t="s">
        <v>1159</v>
      </c>
      <c r="G19" t="s">
        <v>1170</v>
      </c>
      <c r="H19" t="s">
        <v>1183</v>
      </c>
      <c r="I19" t="s">
        <v>1188</v>
      </c>
      <c r="J19" t="s">
        <v>1195</v>
      </c>
      <c r="K19" s="2">
        <v>45825</v>
      </c>
      <c r="L19" s="2" t="str">
        <f t="shared" si="0"/>
        <v>June</v>
      </c>
      <c r="M19">
        <v>3</v>
      </c>
      <c r="N19">
        <v>90000</v>
      </c>
    </row>
    <row r="20" spans="1:14" x14ac:dyDescent="0.3">
      <c r="A20" t="s">
        <v>30</v>
      </c>
      <c r="B20" t="s">
        <v>530</v>
      </c>
      <c r="C20" t="s">
        <v>1028</v>
      </c>
      <c r="D20">
        <v>58</v>
      </c>
      <c r="E20" t="str">
        <f t="shared" si="1"/>
        <v>Senior</v>
      </c>
      <c r="F20" t="s">
        <v>1159</v>
      </c>
      <c r="G20" t="s">
        <v>1168</v>
      </c>
      <c r="H20" t="s">
        <v>1185</v>
      </c>
      <c r="I20" t="s">
        <v>1190</v>
      </c>
      <c r="J20" t="s">
        <v>1192</v>
      </c>
      <c r="K20" s="2">
        <v>45934</v>
      </c>
      <c r="L20" s="2" t="str">
        <f t="shared" si="0"/>
        <v>October</v>
      </c>
      <c r="M20">
        <v>4</v>
      </c>
      <c r="N20">
        <v>60000</v>
      </c>
    </row>
    <row r="21" spans="1:14" x14ac:dyDescent="0.3">
      <c r="A21" t="s">
        <v>31</v>
      </c>
      <c r="B21" t="s">
        <v>531</v>
      </c>
      <c r="C21" t="s">
        <v>1029</v>
      </c>
      <c r="D21">
        <v>38</v>
      </c>
      <c r="E21" t="str">
        <f t="shared" si="1"/>
        <v>Adult</v>
      </c>
      <c r="F21" t="s">
        <v>1159</v>
      </c>
      <c r="G21" t="s">
        <v>1162</v>
      </c>
      <c r="H21" t="s">
        <v>1181</v>
      </c>
      <c r="I21" t="s">
        <v>1187</v>
      </c>
      <c r="J21" t="s">
        <v>1195</v>
      </c>
      <c r="K21" s="2">
        <v>45937</v>
      </c>
      <c r="L21" s="2" t="str">
        <f t="shared" si="0"/>
        <v>October</v>
      </c>
      <c r="M21">
        <v>3</v>
      </c>
      <c r="N21">
        <v>165000</v>
      </c>
    </row>
    <row r="22" spans="1:14" x14ac:dyDescent="0.3">
      <c r="A22" t="s">
        <v>32</v>
      </c>
      <c r="B22" t="s">
        <v>532</v>
      </c>
      <c r="C22" t="s">
        <v>1030</v>
      </c>
      <c r="D22">
        <v>32</v>
      </c>
      <c r="E22" t="str">
        <f t="shared" si="1"/>
        <v>Adult</v>
      </c>
      <c r="F22" t="s">
        <v>1159</v>
      </c>
      <c r="G22" t="s">
        <v>1160</v>
      </c>
      <c r="H22" t="s">
        <v>1179</v>
      </c>
      <c r="I22" t="s">
        <v>1189</v>
      </c>
      <c r="J22" t="s">
        <v>1193</v>
      </c>
      <c r="K22" s="2">
        <v>45607</v>
      </c>
      <c r="L22" s="2" t="str">
        <f t="shared" si="0"/>
        <v>November</v>
      </c>
      <c r="M22">
        <v>2</v>
      </c>
      <c r="N22">
        <v>4000</v>
      </c>
    </row>
    <row r="23" spans="1:14" x14ac:dyDescent="0.3">
      <c r="A23" t="s">
        <v>33</v>
      </c>
      <c r="B23" t="s">
        <v>533</v>
      </c>
      <c r="C23" t="s">
        <v>1031</v>
      </c>
      <c r="D23">
        <v>26</v>
      </c>
      <c r="E23" t="str">
        <f t="shared" si="1"/>
        <v>Teenager</v>
      </c>
      <c r="F23" t="s">
        <v>1159</v>
      </c>
      <c r="G23" t="s">
        <v>1169</v>
      </c>
      <c r="H23" t="s">
        <v>1182</v>
      </c>
      <c r="I23" t="s">
        <v>1187</v>
      </c>
      <c r="J23" t="s">
        <v>1192</v>
      </c>
      <c r="K23" s="2">
        <v>45875</v>
      </c>
      <c r="L23" s="2" t="str">
        <f t="shared" si="0"/>
        <v>August</v>
      </c>
      <c r="M23">
        <v>5</v>
      </c>
      <c r="N23">
        <v>275000</v>
      </c>
    </row>
    <row r="24" spans="1:14" x14ac:dyDescent="0.3">
      <c r="A24" t="s">
        <v>34</v>
      </c>
      <c r="B24" t="s">
        <v>534</v>
      </c>
      <c r="C24" t="s">
        <v>1032</v>
      </c>
      <c r="D24">
        <v>47</v>
      </c>
      <c r="E24" t="str">
        <f t="shared" si="1"/>
        <v>Adult</v>
      </c>
      <c r="F24" t="s">
        <v>1158</v>
      </c>
      <c r="G24" t="s">
        <v>1166</v>
      </c>
      <c r="H24" t="s">
        <v>1184</v>
      </c>
      <c r="I24" t="s">
        <v>1188</v>
      </c>
      <c r="J24" t="s">
        <v>1194</v>
      </c>
      <c r="K24" s="2">
        <v>45922</v>
      </c>
      <c r="L24" s="2" t="str">
        <f t="shared" si="0"/>
        <v>September</v>
      </c>
      <c r="M24">
        <v>1</v>
      </c>
      <c r="N24">
        <v>30000</v>
      </c>
    </row>
    <row r="25" spans="1:14" x14ac:dyDescent="0.3">
      <c r="A25" t="s">
        <v>35</v>
      </c>
      <c r="B25" t="s">
        <v>535</v>
      </c>
      <c r="C25" t="s">
        <v>1033</v>
      </c>
      <c r="D25">
        <v>63</v>
      </c>
      <c r="E25" t="str">
        <f t="shared" si="1"/>
        <v>Senior</v>
      </c>
      <c r="F25" t="s">
        <v>1158</v>
      </c>
      <c r="G25" t="s">
        <v>1171</v>
      </c>
      <c r="H25" t="s">
        <v>1184</v>
      </c>
      <c r="I25" t="s">
        <v>1191</v>
      </c>
      <c r="J25" t="s">
        <v>1194</v>
      </c>
      <c r="K25" s="2">
        <v>45626</v>
      </c>
      <c r="L25" s="2" t="str">
        <f t="shared" si="0"/>
        <v>November</v>
      </c>
      <c r="M25">
        <v>5</v>
      </c>
      <c r="N25">
        <v>30000</v>
      </c>
    </row>
    <row r="26" spans="1:14" x14ac:dyDescent="0.3">
      <c r="A26" t="s">
        <v>36</v>
      </c>
      <c r="B26" t="s">
        <v>536</v>
      </c>
      <c r="C26" t="s">
        <v>1034</v>
      </c>
      <c r="D26">
        <v>42</v>
      </c>
      <c r="E26" t="str">
        <f t="shared" si="1"/>
        <v>Adult</v>
      </c>
      <c r="F26" t="s">
        <v>1158</v>
      </c>
      <c r="G26" t="s">
        <v>1165</v>
      </c>
      <c r="H26" t="s">
        <v>1179</v>
      </c>
      <c r="I26" t="s">
        <v>1190</v>
      </c>
      <c r="J26" t="s">
        <v>1196</v>
      </c>
      <c r="K26" s="2">
        <v>45760</v>
      </c>
      <c r="L26" s="2" t="str">
        <f t="shared" si="0"/>
        <v>April</v>
      </c>
      <c r="M26">
        <v>3</v>
      </c>
      <c r="N26">
        <v>45000</v>
      </c>
    </row>
    <row r="27" spans="1:14" x14ac:dyDescent="0.3">
      <c r="A27" t="s">
        <v>37</v>
      </c>
      <c r="B27" t="s">
        <v>537</v>
      </c>
      <c r="C27" t="s">
        <v>1035</v>
      </c>
      <c r="D27">
        <v>31</v>
      </c>
      <c r="E27" t="str">
        <f t="shared" si="1"/>
        <v>Adult</v>
      </c>
      <c r="F27" t="s">
        <v>1158</v>
      </c>
      <c r="G27" t="s">
        <v>1162</v>
      </c>
      <c r="H27" t="s">
        <v>1181</v>
      </c>
      <c r="I27" t="s">
        <v>1186</v>
      </c>
      <c r="J27" t="s">
        <v>1192</v>
      </c>
      <c r="K27" s="2">
        <v>45895</v>
      </c>
      <c r="L27" s="2" t="str">
        <f t="shared" si="0"/>
        <v>August</v>
      </c>
      <c r="M27">
        <v>3</v>
      </c>
      <c r="N27">
        <v>7500</v>
      </c>
    </row>
    <row r="28" spans="1:14" x14ac:dyDescent="0.3">
      <c r="A28" t="s">
        <v>38</v>
      </c>
      <c r="B28" t="s">
        <v>538</v>
      </c>
      <c r="C28" t="s">
        <v>1036</v>
      </c>
      <c r="D28">
        <v>62</v>
      </c>
      <c r="E28" t="str">
        <f t="shared" si="1"/>
        <v>Senior</v>
      </c>
      <c r="F28" t="s">
        <v>1158</v>
      </c>
      <c r="G28" t="s">
        <v>1168</v>
      </c>
      <c r="H28" t="s">
        <v>1185</v>
      </c>
      <c r="I28" t="s">
        <v>1189</v>
      </c>
      <c r="J28" t="s">
        <v>1195</v>
      </c>
      <c r="K28" s="2">
        <v>45759</v>
      </c>
      <c r="L28" s="2" t="str">
        <f t="shared" si="0"/>
        <v>April</v>
      </c>
      <c r="M28">
        <v>2</v>
      </c>
      <c r="N28">
        <v>4000</v>
      </c>
    </row>
    <row r="29" spans="1:14" x14ac:dyDescent="0.3">
      <c r="A29" t="s">
        <v>39</v>
      </c>
      <c r="B29" t="s">
        <v>539</v>
      </c>
      <c r="C29" t="s">
        <v>1037</v>
      </c>
      <c r="D29">
        <v>22</v>
      </c>
      <c r="E29" t="str">
        <f t="shared" si="1"/>
        <v>Teenager</v>
      </c>
      <c r="F29" t="s">
        <v>1158</v>
      </c>
      <c r="G29" t="s">
        <v>1172</v>
      </c>
      <c r="H29" t="s">
        <v>1185</v>
      </c>
      <c r="I29" t="s">
        <v>1187</v>
      </c>
      <c r="J29" t="s">
        <v>1193</v>
      </c>
      <c r="K29" s="2">
        <v>45669</v>
      </c>
      <c r="L29" s="2" t="str">
        <f t="shared" si="0"/>
        <v>January</v>
      </c>
      <c r="M29">
        <v>3</v>
      </c>
      <c r="N29">
        <v>165000</v>
      </c>
    </row>
    <row r="30" spans="1:14" x14ac:dyDescent="0.3">
      <c r="A30" t="s">
        <v>40</v>
      </c>
      <c r="B30" t="s">
        <v>540</v>
      </c>
      <c r="C30" t="s">
        <v>1038</v>
      </c>
      <c r="D30">
        <v>25</v>
      </c>
      <c r="E30" t="str">
        <f t="shared" si="1"/>
        <v>Teenager</v>
      </c>
      <c r="F30" t="s">
        <v>1159</v>
      </c>
      <c r="G30" t="s">
        <v>1162</v>
      </c>
      <c r="H30" t="s">
        <v>1181</v>
      </c>
      <c r="I30" t="s">
        <v>1191</v>
      </c>
      <c r="J30" t="s">
        <v>1194</v>
      </c>
      <c r="K30" s="2">
        <v>45750</v>
      </c>
      <c r="L30" s="2" t="str">
        <f t="shared" si="0"/>
        <v>April</v>
      </c>
      <c r="M30">
        <v>1</v>
      </c>
      <c r="N30">
        <v>6000</v>
      </c>
    </row>
    <row r="31" spans="1:14" x14ac:dyDescent="0.3">
      <c r="A31" t="s">
        <v>41</v>
      </c>
      <c r="B31" t="s">
        <v>541</v>
      </c>
      <c r="C31" t="s">
        <v>1039</v>
      </c>
      <c r="D31">
        <v>31</v>
      </c>
      <c r="E31" t="str">
        <f t="shared" si="1"/>
        <v>Adult</v>
      </c>
      <c r="F31" t="s">
        <v>1158</v>
      </c>
      <c r="G31" t="s">
        <v>1164</v>
      </c>
      <c r="H31" t="s">
        <v>1183</v>
      </c>
      <c r="I31" t="s">
        <v>1186</v>
      </c>
      <c r="J31" t="s">
        <v>1196</v>
      </c>
      <c r="K31" s="2">
        <v>45684</v>
      </c>
      <c r="L31" s="2" t="str">
        <f t="shared" si="0"/>
        <v>January</v>
      </c>
      <c r="M31">
        <v>2</v>
      </c>
      <c r="N31">
        <v>5000</v>
      </c>
    </row>
    <row r="32" spans="1:14" x14ac:dyDescent="0.3">
      <c r="A32" t="s">
        <v>42</v>
      </c>
      <c r="B32" t="s">
        <v>542</v>
      </c>
      <c r="C32" t="s">
        <v>1035</v>
      </c>
      <c r="D32">
        <v>55</v>
      </c>
      <c r="E32" t="str">
        <f t="shared" si="1"/>
        <v>Senior</v>
      </c>
      <c r="F32" t="s">
        <v>1159</v>
      </c>
      <c r="G32" t="s">
        <v>1173</v>
      </c>
      <c r="H32" t="s">
        <v>1185</v>
      </c>
      <c r="I32" t="s">
        <v>1190</v>
      </c>
      <c r="J32" t="s">
        <v>1196</v>
      </c>
      <c r="K32" s="2">
        <v>45835</v>
      </c>
      <c r="L32" s="2" t="str">
        <f t="shared" si="0"/>
        <v>June</v>
      </c>
      <c r="M32">
        <v>1</v>
      </c>
      <c r="N32">
        <v>15000</v>
      </c>
    </row>
    <row r="33" spans="1:14" x14ac:dyDescent="0.3">
      <c r="A33" t="s">
        <v>43</v>
      </c>
      <c r="B33" t="s">
        <v>543</v>
      </c>
      <c r="C33" t="s">
        <v>1040</v>
      </c>
      <c r="D33">
        <v>30</v>
      </c>
      <c r="E33" t="str">
        <f t="shared" si="1"/>
        <v>Adult</v>
      </c>
      <c r="F33" t="s">
        <v>1159</v>
      </c>
      <c r="G33" t="s">
        <v>1174</v>
      </c>
      <c r="H33" t="s">
        <v>1180</v>
      </c>
      <c r="I33" t="s">
        <v>1190</v>
      </c>
      <c r="J33" t="s">
        <v>1195</v>
      </c>
      <c r="K33" s="2">
        <v>45675</v>
      </c>
      <c r="L33" s="2" t="str">
        <f t="shared" si="0"/>
        <v>January</v>
      </c>
      <c r="M33">
        <v>3</v>
      </c>
      <c r="N33">
        <v>45000</v>
      </c>
    </row>
    <row r="34" spans="1:14" x14ac:dyDescent="0.3">
      <c r="A34" t="s">
        <v>44</v>
      </c>
      <c r="B34" t="s">
        <v>544</v>
      </c>
      <c r="C34" t="s">
        <v>1041</v>
      </c>
      <c r="D34">
        <v>29</v>
      </c>
      <c r="E34" t="str">
        <f t="shared" si="1"/>
        <v>Teenager</v>
      </c>
      <c r="F34" t="s">
        <v>1159</v>
      </c>
      <c r="G34" t="s">
        <v>1162</v>
      </c>
      <c r="H34" t="s">
        <v>1181</v>
      </c>
      <c r="I34" t="s">
        <v>1188</v>
      </c>
      <c r="J34" t="s">
        <v>1196</v>
      </c>
      <c r="K34" s="2">
        <v>45901</v>
      </c>
      <c r="L34" s="2" t="str">
        <f t="shared" si="0"/>
        <v>September</v>
      </c>
      <c r="M34">
        <v>3</v>
      </c>
      <c r="N34">
        <v>90000</v>
      </c>
    </row>
    <row r="35" spans="1:14" x14ac:dyDescent="0.3">
      <c r="A35" t="s">
        <v>45</v>
      </c>
      <c r="B35" t="s">
        <v>545</v>
      </c>
      <c r="C35" t="s">
        <v>1042</v>
      </c>
      <c r="D35">
        <v>60</v>
      </c>
      <c r="E35" t="str">
        <f t="shared" si="1"/>
        <v>Senior</v>
      </c>
      <c r="F35" t="s">
        <v>1158</v>
      </c>
      <c r="G35" t="s">
        <v>1160</v>
      </c>
      <c r="H35" t="s">
        <v>1179</v>
      </c>
      <c r="I35" t="s">
        <v>1186</v>
      </c>
      <c r="J35" t="s">
        <v>1196</v>
      </c>
      <c r="K35" s="2">
        <v>45587</v>
      </c>
      <c r="L35" s="2" t="str">
        <f t="shared" si="0"/>
        <v>October</v>
      </c>
      <c r="M35">
        <v>4</v>
      </c>
      <c r="N35">
        <v>10000</v>
      </c>
    </row>
    <row r="36" spans="1:14" x14ac:dyDescent="0.3">
      <c r="A36" t="s">
        <v>46</v>
      </c>
      <c r="B36" t="s">
        <v>546</v>
      </c>
      <c r="C36" t="s">
        <v>1043</v>
      </c>
      <c r="D36">
        <v>31</v>
      </c>
      <c r="E36" t="str">
        <f t="shared" si="1"/>
        <v>Adult</v>
      </c>
      <c r="F36" t="s">
        <v>1159</v>
      </c>
      <c r="G36" t="s">
        <v>1162</v>
      </c>
      <c r="H36" t="s">
        <v>1181</v>
      </c>
      <c r="I36" t="s">
        <v>1191</v>
      </c>
      <c r="J36" t="s">
        <v>1195</v>
      </c>
      <c r="K36" s="2">
        <v>45701</v>
      </c>
      <c r="L36" s="2" t="str">
        <f t="shared" si="0"/>
        <v>February</v>
      </c>
      <c r="M36">
        <v>2</v>
      </c>
      <c r="N36">
        <v>12000</v>
      </c>
    </row>
    <row r="37" spans="1:14" x14ac:dyDescent="0.3">
      <c r="A37" t="s">
        <v>47</v>
      </c>
      <c r="B37" t="s">
        <v>547</v>
      </c>
      <c r="C37" t="s">
        <v>1044</v>
      </c>
      <c r="D37">
        <v>63</v>
      </c>
      <c r="E37" t="str">
        <f t="shared" si="1"/>
        <v>Senior</v>
      </c>
      <c r="F37" t="s">
        <v>1158</v>
      </c>
      <c r="G37" t="s">
        <v>1166</v>
      </c>
      <c r="H37" t="s">
        <v>1184</v>
      </c>
      <c r="I37" t="s">
        <v>1190</v>
      </c>
      <c r="J37" t="s">
        <v>1192</v>
      </c>
      <c r="K37" s="2">
        <v>45755</v>
      </c>
      <c r="L37" s="2" t="str">
        <f t="shared" si="0"/>
        <v>April</v>
      </c>
      <c r="M37">
        <v>5</v>
      </c>
      <c r="N37">
        <v>75000</v>
      </c>
    </row>
    <row r="38" spans="1:14" x14ac:dyDescent="0.3">
      <c r="A38" t="s">
        <v>48</v>
      </c>
      <c r="B38" t="s">
        <v>548</v>
      </c>
      <c r="C38" t="s">
        <v>1015</v>
      </c>
      <c r="D38">
        <v>29</v>
      </c>
      <c r="E38" t="str">
        <f t="shared" si="1"/>
        <v>Teenager</v>
      </c>
      <c r="F38" t="s">
        <v>1159</v>
      </c>
      <c r="G38" t="s">
        <v>1172</v>
      </c>
      <c r="H38" t="s">
        <v>1185</v>
      </c>
      <c r="I38" t="s">
        <v>1188</v>
      </c>
      <c r="J38" t="s">
        <v>1194</v>
      </c>
      <c r="K38" s="2">
        <v>45592</v>
      </c>
      <c r="L38" s="2" t="str">
        <f t="shared" si="0"/>
        <v>October</v>
      </c>
      <c r="M38">
        <v>2</v>
      </c>
      <c r="N38">
        <v>60000</v>
      </c>
    </row>
    <row r="39" spans="1:14" x14ac:dyDescent="0.3">
      <c r="A39" t="s">
        <v>49</v>
      </c>
      <c r="B39" t="s">
        <v>549</v>
      </c>
      <c r="C39" t="s">
        <v>1045</v>
      </c>
      <c r="D39">
        <v>57</v>
      </c>
      <c r="E39" t="str">
        <f t="shared" si="1"/>
        <v>Senior</v>
      </c>
      <c r="F39" t="s">
        <v>1158</v>
      </c>
      <c r="G39" t="s">
        <v>1170</v>
      </c>
      <c r="H39" t="s">
        <v>1183</v>
      </c>
      <c r="I39" t="s">
        <v>1186</v>
      </c>
      <c r="J39" t="s">
        <v>1194</v>
      </c>
      <c r="K39" s="2">
        <v>45697</v>
      </c>
      <c r="L39" s="2" t="str">
        <f t="shared" si="0"/>
        <v>February</v>
      </c>
      <c r="M39">
        <v>4</v>
      </c>
      <c r="N39">
        <v>10000</v>
      </c>
    </row>
    <row r="40" spans="1:14" x14ac:dyDescent="0.3">
      <c r="A40" t="s">
        <v>50</v>
      </c>
      <c r="B40" t="s">
        <v>550</v>
      </c>
      <c r="C40" t="s">
        <v>1046</v>
      </c>
      <c r="D40">
        <v>26</v>
      </c>
      <c r="E40" t="str">
        <f t="shared" si="1"/>
        <v>Teenager</v>
      </c>
      <c r="F40" t="s">
        <v>1158</v>
      </c>
      <c r="G40" t="s">
        <v>1175</v>
      </c>
      <c r="H40" t="s">
        <v>1183</v>
      </c>
      <c r="I40" t="s">
        <v>1190</v>
      </c>
      <c r="J40" t="s">
        <v>1195</v>
      </c>
      <c r="K40" s="2">
        <v>45641</v>
      </c>
      <c r="L40" s="2" t="str">
        <f t="shared" si="0"/>
        <v>December</v>
      </c>
      <c r="M40">
        <v>1</v>
      </c>
      <c r="N40">
        <v>15000</v>
      </c>
    </row>
    <row r="41" spans="1:14" x14ac:dyDescent="0.3">
      <c r="A41" t="s">
        <v>51</v>
      </c>
      <c r="B41" t="s">
        <v>551</v>
      </c>
      <c r="C41" t="s">
        <v>1047</v>
      </c>
      <c r="D41">
        <v>43</v>
      </c>
      <c r="E41" t="str">
        <f t="shared" si="1"/>
        <v>Adult</v>
      </c>
      <c r="F41" t="s">
        <v>1158</v>
      </c>
      <c r="G41" t="s">
        <v>1173</v>
      </c>
      <c r="H41" t="s">
        <v>1185</v>
      </c>
      <c r="I41" t="s">
        <v>1189</v>
      </c>
      <c r="J41" t="s">
        <v>1193</v>
      </c>
      <c r="K41" s="2">
        <v>45629</v>
      </c>
      <c r="L41" s="2" t="str">
        <f t="shared" si="0"/>
        <v>December</v>
      </c>
      <c r="M41">
        <v>1</v>
      </c>
      <c r="N41">
        <v>2000</v>
      </c>
    </row>
    <row r="42" spans="1:14" x14ac:dyDescent="0.3">
      <c r="A42" t="s">
        <v>52</v>
      </c>
      <c r="B42" t="s">
        <v>552</v>
      </c>
      <c r="C42" t="s">
        <v>1040</v>
      </c>
      <c r="D42">
        <v>39</v>
      </c>
      <c r="E42" t="str">
        <f t="shared" si="1"/>
        <v>Adult</v>
      </c>
      <c r="F42" t="s">
        <v>1158</v>
      </c>
      <c r="G42" t="s">
        <v>1176</v>
      </c>
      <c r="H42" t="s">
        <v>1179</v>
      </c>
      <c r="I42" t="s">
        <v>1187</v>
      </c>
      <c r="J42" t="s">
        <v>1196</v>
      </c>
      <c r="K42" s="2">
        <v>45943</v>
      </c>
      <c r="L42" s="2" t="str">
        <f t="shared" si="0"/>
        <v>October</v>
      </c>
      <c r="M42">
        <v>3</v>
      </c>
      <c r="N42">
        <v>165000</v>
      </c>
    </row>
    <row r="43" spans="1:14" x14ac:dyDescent="0.3">
      <c r="A43" t="s">
        <v>53</v>
      </c>
      <c r="B43" t="s">
        <v>553</v>
      </c>
      <c r="C43" t="s">
        <v>1048</v>
      </c>
      <c r="D43">
        <v>62</v>
      </c>
      <c r="E43" t="str">
        <f t="shared" si="1"/>
        <v>Senior</v>
      </c>
      <c r="F43" t="s">
        <v>1158</v>
      </c>
      <c r="G43" t="s">
        <v>1168</v>
      </c>
      <c r="H43" t="s">
        <v>1185</v>
      </c>
      <c r="I43" t="s">
        <v>1191</v>
      </c>
      <c r="J43" t="s">
        <v>1192</v>
      </c>
      <c r="K43" s="2">
        <v>45692</v>
      </c>
      <c r="L43" s="2" t="str">
        <f t="shared" si="0"/>
        <v>February</v>
      </c>
      <c r="M43">
        <v>3</v>
      </c>
      <c r="N43">
        <v>18000</v>
      </c>
    </row>
    <row r="44" spans="1:14" x14ac:dyDescent="0.3">
      <c r="A44" t="s">
        <v>54</v>
      </c>
      <c r="B44" t="s">
        <v>554</v>
      </c>
      <c r="C44" t="s">
        <v>1026</v>
      </c>
      <c r="D44">
        <v>46</v>
      </c>
      <c r="E44" t="str">
        <f t="shared" si="1"/>
        <v>Adult</v>
      </c>
      <c r="F44" t="s">
        <v>1158</v>
      </c>
      <c r="G44" t="s">
        <v>1168</v>
      </c>
      <c r="H44" t="s">
        <v>1185</v>
      </c>
      <c r="I44" t="s">
        <v>1190</v>
      </c>
      <c r="J44" t="s">
        <v>1193</v>
      </c>
      <c r="K44" s="2">
        <v>45767</v>
      </c>
      <c r="L44" s="2" t="str">
        <f t="shared" si="0"/>
        <v>April</v>
      </c>
      <c r="M44">
        <v>3</v>
      </c>
      <c r="N44">
        <v>45000</v>
      </c>
    </row>
    <row r="45" spans="1:14" x14ac:dyDescent="0.3">
      <c r="A45" t="s">
        <v>55</v>
      </c>
      <c r="B45" t="s">
        <v>555</v>
      </c>
      <c r="C45" t="s">
        <v>1049</v>
      </c>
      <c r="D45">
        <v>56</v>
      </c>
      <c r="E45" t="str">
        <f t="shared" si="1"/>
        <v>Senior</v>
      </c>
      <c r="F45" t="s">
        <v>1159</v>
      </c>
      <c r="G45" t="s">
        <v>1174</v>
      </c>
      <c r="H45" t="s">
        <v>1180</v>
      </c>
      <c r="I45" t="s">
        <v>1189</v>
      </c>
      <c r="J45" t="s">
        <v>1193</v>
      </c>
      <c r="K45" s="2">
        <v>45924</v>
      </c>
      <c r="L45" s="2" t="str">
        <f t="shared" si="0"/>
        <v>September</v>
      </c>
      <c r="M45">
        <v>2</v>
      </c>
      <c r="N45">
        <v>4000</v>
      </c>
    </row>
    <row r="46" spans="1:14" x14ac:dyDescent="0.3">
      <c r="A46" t="s">
        <v>56</v>
      </c>
      <c r="B46" t="s">
        <v>556</v>
      </c>
      <c r="C46" t="s">
        <v>1050</v>
      </c>
      <c r="D46">
        <v>47</v>
      </c>
      <c r="E46" t="str">
        <f t="shared" si="1"/>
        <v>Adult</v>
      </c>
      <c r="F46" t="s">
        <v>1159</v>
      </c>
      <c r="G46" t="s">
        <v>1169</v>
      </c>
      <c r="H46" t="s">
        <v>1182</v>
      </c>
      <c r="I46" t="s">
        <v>1186</v>
      </c>
      <c r="J46" t="s">
        <v>1194</v>
      </c>
      <c r="K46" s="2">
        <v>45835</v>
      </c>
      <c r="L46" s="2" t="str">
        <f t="shared" si="0"/>
        <v>June</v>
      </c>
      <c r="M46">
        <v>2</v>
      </c>
      <c r="N46">
        <v>5000</v>
      </c>
    </row>
    <row r="47" spans="1:14" x14ac:dyDescent="0.3">
      <c r="A47" t="s">
        <v>57</v>
      </c>
      <c r="B47" t="s">
        <v>557</v>
      </c>
      <c r="C47" t="s">
        <v>1051</v>
      </c>
      <c r="D47">
        <v>58</v>
      </c>
      <c r="E47" t="str">
        <f t="shared" si="1"/>
        <v>Senior</v>
      </c>
      <c r="F47" t="s">
        <v>1158</v>
      </c>
      <c r="G47" t="s">
        <v>1162</v>
      </c>
      <c r="H47" t="s">
        <v>1181</v>
      </c>
      <c r="I47" t="s">
        <v>1186</v>
      </c>
      <c r="J47" t="s">
        <v>1196</v>
      </c>
      <c r="K47" s="2">
        <v>45917</v>
      </c>
      <c r="L47" s="2" t="str">
        <f t="shared" si="0"/>
        <v>September</v>
      </c>
      <c r="M47">
        <v>3</v>
      </c>
      <c r="N47">
        <v>7500</v>
      </c>
    </row>
    <row r="48" spans="1:14" x14ac:dyDescent="0.3">
      <c r="A48" t="s">
        <v>58</v>
      </c>
      <c r="B48" t="s">
        <v>558</v>
      </c>
      <c r="C48" t="s">
        <v>1052</v>
      </c>
      <c r="D48">
        <v>29</v>
      </c>
      <c r="E48" t="str">
        <f t="shared" si="1"/>
        <v>Teenager</v>
      </c>
      <c r="F48" t="s">
        <v>1159</v>
      </c>
      <c r="G48" t="s">
        <v>1161</v>
      </c>
      <c r="H48" t="s">
        <v>1180</v>
      </c>
      <c r="I48" t="s">
        <v>1190</v>
      </c>
      <c r="J48" t="s">
        <v>1194</v>
      </c>
      <c r="K48" s="2">
        <v>45593</v>
      </c>
      <c r="L48" s="2" t="str">
        <f t="shared" si="0"/>
        <v>October</v>
      </c>
      <c r="M48">
        <v>1</v>
      </c>
      <c r="N48">
        <v>15000</v>
      </c>
    </row>
    <row r="49" spans="1:14" x14ac:dyDescent="0.3">
      <c r="A49" t="s">
        <v>59</v>
      </c>
      <c r="B49" t="s">
        <v>559</v>
      </c>
      <c r="C49" t="s">
        <v>1053</v>
      </c>
      <c r="D49">
        <v>26</v>
      </c>
      <c r="E49" t="str">
        <f t="shared" si="1"/>
        <v>Teenager</v>
      </c>
      <c r="F49" t="s">
        <v>1159</v>
      </c>
      <c r="G49" t="s">
        <v>1172</v>
      </c>
      <c r="H49" t="s">
        <v>1185</v>
      </c>
      <c r="I49" t="s">
        <v>1188</v>
      </c>
      <c r="J49" t="s">
        <v>1193</v>
      </c>
      <c r="K49" s="2">
        <v>45875</v>
      </c>
      <c r="L49" s="2" t="str">
        <f t="shared" si="0"/>
        <v>August</v>
      </c>
      <c r="M49">
        <v>2</v>
      </c>
      <c r="N49">
        <v>60000</v>
      </c>
    </row>
    <row r="50" spans="1:14" x14ac:dyDescent="0.3">
      <c r="A50" t="s">
        <v>60</v>
      </c>
      <c r="B50" t="s">
        <v>560</v>
      </c>
      <c r="C50" t="s">
        <v>1054</v>
      </c>
      <c r="D50">
        <v>23</v>
      </c>
      <c r="E50" t="str">
        <f t="shared" si="1"/>
        <v>Teenager</v>
      </c>
      <c r="F50" t="s">
        <v>1159</v>
      </c>
      <c r="G50" t="s">
        <v>1175</v>
      </c>
      <c r="H50" t="s">
        <v>1183</v>
      </c>
      <c r="I50" t="s">
        <v>1190</v>
      </c>
      <c r="J50" t="s">
        <v>1193</v>
      </c>
      <c r="K50" s="2">
        <v>45673</v>
      </c>
      <c r="L50" s="2" t="str">
        <f t="shared" si="0"/>
        <v>January</v>
      </c>
      <c r="M50">
        <v>1</v>
      </c>
      <c r="N50">
        <v>15000</v>
      </c>
    </row>
    <row r="51" spans="1:14" x14ac:dyDescent="0.3">
      <c r="A51" t="s">
        <v>61</v>
      </c>
      <c r="B51" t="s">
        <v>561</v>
      </c>
      <c r="C51" t="s">
        <v>1055</v>
      </c>
      <c r="D51">
        <v>18</v>
      </c>
      <c r="E51" t="str">
        <f t="shared" si="1"/>
        <v>Teenager</v>
      </c>
      <c r="F51" t="s">
        <v>1159</v>
      </c>
      <c r="G51" t="s">
        <v>1173</v>
      </c>
      <c r="H51" t="s">
        <v>1185</v>
      </c>
      <c r="I51" t="s">
        <v>1190</v>
      </c>
      <c r="J51" t="s">
        <v>1195</v>
      </c>
      <c r="K51" s="2">
        <v>45807</v>
      </c>
      <c r="L51" s="2" t="str">
        <f t="shared" si="0"/>
        <v>May</v>
      </c>
      <c r="M51">
        <v>3</v>
      </c>
      <c r="N51">
        <v>45000</v>
      </c>
    </row>
    <row r="52" spans="1:14" x14ac:dyDescent="0.3">
      <c r="A52" t="s">
        <v>62</v>
      </c>
      <c r="B52" t="s">
        <v>562</v>
      </c>
      <c r="C52" t="s">
        <v>1056</v>
      </c>
      <c r="D52">
        <v>32</v>
      </c>
      <c r="E52" t="str">
        <f t="shared" si="1"/>
        <v>Adult</v>
      </c>
      <c r="F52" t="s">
        <v>1158</v>
      </c>
      <c r="G52" t="s">
        <v>1177</v>
      </c>
      <c r="H52" t="s">
        <v>1184</v>
      </c>
      <c r="I52" t="s">
        <v>1186</v>
      </c>
      <c r="J52" t="s">
        <v>1196</v>
      </c>
      <c r="K52" s="2">
        <v>45760</v>
      </c>
      <c r="L52" s="2" t="str">
        <f t="shared" si="0"/>
        <v>April</v>
      </c>
      <c r="M52">
        <v>1</v>
      </c>
      <c r="N52">
        <v>2500</v>
      </c>
    </row>
    <row r="53" spans="1:14" x14ac:dyDescent="0.3">
      <c r="A53" t="s">
        <v>63</v>
      </c>
      <c r="B53" t="s">
        <v>563</v>
      </c>
      <c r="C53" t="s">
        <v>1057</v>
      </c>
      <c r="D53">
        <v>35</v>
      </c>
      <c r="E53" t="str">
        <f t="shared" si="1"/>
        <v>Adult</v>
      </c>
      <c r="F53" t="s">
        <v>1158</v>
      </c>
      <c r="G53" t="s">
        <v>1178</v>
      </c>
      <c r="H53" t="s">
        <v>1180</v>
      </c>
      <c r="I53" t="s">
        <v>1191</v>
      </c>
      <c r="J53" t="s">
        <v>1194</v>
      </c>
      <c r="K53" s="2">
        <v>45895</v>
      </c>
      <c r="L53" s="2" t="str">
        <f t="shared" si="0"/>
        <v>August</v>
      </c>
      <c r="M53">
        <v>4</v>
      </c>
      <c r="N53">
        <v>24000</v>
      </c>
    </row>
    <row r="54" spans="1:14" x14ac:dyDescent="0.3">
      <c r="A54" t="s">
        <v>64</v>
      </c>
      <c r="B54" t="s">
        <v>564</v>
      </c>
      <c r="C54" t="s">
        <v>1037</v>
      </c>
      <c r="D54">
        <v>62</v>
      </c>
      <c r="E54" t="str">
        <f t="shared" si="1"/>
        <v>Senior</v>
      </c>
      <c r="F54" t="s">
        <v>1159</v>
      </c>
      <c r="G54" t="s">
        <v>1174</v>
      </c>
      <c r="H54" t="s">
        <v>1180</v>
      </c>
      <c r="I54" t="s">
        <v>1188</v>
      </c>
      <c r="J54" t="s">
        <v>1193</v>
      </c>
      <c r="K54" s="2">
        <v>45680</v>
      </c>
      <c r="L54" s="2" t="str">
        <f t="shared" si="0"/>
        <v>January</v>
      </c>
      <c r="M54">
        <v>2</v>
      </c>
      <c r="N54">
        <v>60000</v>
      </c>
    </row>
    <row r="55" spans="1:14" x14ac:dyDescent="0.3">
      <c r="A55" t="s">
        <v>65</v>
      </c>
      <c r="B55" t="s">
        <v>565</v>
      </c>
      <c r="C55" t="s">
        <v>1058</v>
      </c>
      <c r="D55">
        <v>21</v>
      </c>
      <c r="E55" t="str">
        <f t="shared" si="1"/>
        <v>Teenager</v>
      </c>
      <c r="F55" t="s">
        <v>1158</v>
      </c>
      <c r="G55" t="s">
        <v>1173</v>
      </c>
      <c r="H55" t="s">
        <v>1185</v>
      </c>
      <c r="I55" t="s">
        <v>1188</v>
      </c>
      <c r="J55" t="s">
        <v>1194</v>
      </c>
      <c r="K55" s="2">
        <v>45700</v>
      </c>
      <c r="L55" s="2" t="str">
        <f t="shared" si="0"/>
        <v>February</v>
      </c>
      <c r="M55">
        <v>5</v>
      </c>
      <c r="N55">
        <v>150000</v>
      </c>
    </row>
    <row r="56" spans="1:14" x14ac:dyDescent="0.3">
      <c r="A56" t="s">
        <v>66</v>
      </c>
      <c r="B56" t="s">
        <v>566</v>
      </c>
      <c r="C56" t="s">
        <v>1059</v>
      </c>
      <c r="D56">
        <v>22</v>
      </c>
      <c r="E56" t="str">
        <f t="shared" si="1"/>
        <v>Teenager</v>
      </c>
      <c r="F56" t="s">
        <v>1159</v>
      </c>
      <c r="G56" t="s">
        <v>1162</v>
      </c>
      <c r="H56" t="s">
        <v>1181</v>
      </c>
      <c r="I56" t="s">
        <v>1186</v>
      </c>
      <c r="J56" t="s">
        <v>1196</v>
      </c>
      <c r="K56" s="2">
        <v>45866</v>
      </c>
      <c r="L56" s="2" t="str">
        <f t="shared" si="0"/>
        <v>July</v>
      </c>
      <c r="M56">
        <v>5</v>
      </c>
      <c r="N56">
        <v>12500</v>
      </c>
    </row>
    <row r="57" spans="1:14" x14ac:dyDescent="0.3">
      <c r="A57" t="s">
        <v>67</v>
      </c>
      <c r="B57" t="s">
        <v>567</v>
      </c>
      <c r="C57" t="s">
        <v>1060</v>
      </c>
      <c r="D57">
        <v>29</v>
      </c>
      <c r="E57" t="str">
        <f t="shared" si="1"/>
        <v>Teenager</v>
      </c>
      <c r="F57" t="s">
        <v>1158</v>
      </c>
      <c r="G57" t="s">
        <v>1170</v>
      </c>
      <c r="H57" t="s">
        <v>1183</v>
      </c>
      <c r="I57" t="s">
        <v>1190</v>
      </c>
      <c r="J57" t="s">
        <v>1196</v>
      </c>
      <c r="K57" s="2">
        <v>45850</v>
      </c>
      <c r="L57" s="2" t="str">
        <f t="shared" si="0"/>
        <v>July</v>
      </c>
      <c r="M57">
        <v>2</v>
      </c>
      <c r="N57">
        <v>30000</v>
      </c>
    </row>
    <row r="58" spans="1:14" x14ac:dyDescent="0.3">
      <c r="A58" t="s">
        <v>68</v>
      </c>
      <c r="B58" t="s">
        <v>568</v>
      </c>
      <c r="C58" t="s">
        <v>1019</v>
      </c>
      <c r="D58">
        <v>37</v>
      </c>
      <c r="E58" t="str">
        <f t="shared" si="1"/>
        <v>Adult</v>
      </c>
      <c r="F58" t="s">
        <v>1159</v>
      </c>
      <c r="G58" t="s">
        <v>1178</v>
      </c>
      <c r="H58" t="s">
        <v>1180</v>
      </c>
      <c r="I58" t="s">
        <v>1191</v>
      </c>
      <c r="J58" t="s">
        <v>1194</v>
      </c>
      <c r="K58" s="2">
        <v>45787</v>
      </c>
      <c r="L58" s="2" t="str">
        <f t="shared" si="0"/>
        <v>May</v>
      </c>
      <c r="M58">
        <v>2</v>
      </c>
      <c r="N58">
        <v>12000</v>
      </c>
    </row>
    <row r="59" spans="1:14" x14ac:dyDescent="0.3">
      <c r="A59" t="s">
        <v>69</v>
      </c>
      <c r="B59" t="s">
        <v>569</v>
      </c>
      <c r="C59" t="s">
        <v>1061</v>
      </c>
      <c r="D59">
        <v>55</v>
      </c>
      <c r="E59" t="str">
        <f t="shared" si="1"/>
        <v>Senior</v>
      </c>
      <c r="F59" t="s">
        <v>1159</v>
      </c>
      <c r="G59" t="s">
        <v>1173</v>
      </c>
      <c r="H59" t="s">
        <v>1185</v>
      </c>
      <c r="I59" t="s">
        <v>1187</v>
      </c>
      <c r="J59" t="s">
        <v>1196</v>
      </c>
      <c r="K59" s="2">
        <v>45921</v>
      </c>
      <c r="L59" s="2" t="str">
        <f t="shared" si="0"/>
        <v>September</v>
      </c>
      <c r="M59">
        <v>3</v>
      </c>
      <c r="N59">
        <v>165000</v>
      </c>
    </row>
    <row r="60" spans="1:14" x14ac:dyDescent="0.3">
      <c r="A60" t="s">
        <v>70</v>
      </c>
      <c r="B60" t="s">
        <v>570</v>
      </c>
      <c r="C60" t="s">
        <v>1062</v>
      </c>
      <c r="D60">
        <v>59</v>
      </c>
      <c r="E60" t="str">
        <f t="shared" si="1"/>
        <v>Senior</v>
      </c>
      <c r="F60" t="s">
        <v>1158</v>
      </c>
      <c r="G60" t="s">
        <v>1176</v>
      </c>
      <c r="H60" t="s">
        <v>1179</v>
      </c>
      <c r="I60" t="s">
        <v>1191</v>
      </c>
      <c r="J60" t="s">
        <v>1196</v>
      </c>
      <c r="K60" s="2">
        <v>45667</v>
      </c>
      <c r="L60" s="2" t="str">
        <f t="shared" si="0"/>
        <v>January</v>
      </c>
      <c r="M60">
        <v>3</v>
      </c>
      <c r="N60">
        <v>18000</v>
      </c>
    </row>
    <row r="61" spans="1:14" x14ac:dyDescent="0.3">
      <c r="A61" t="s">
        <v>71</v>
      </c>
      <c r="B61" t="s">
        <v>571</v>
      </c>
      <c r="C61" t="s">
        <v>1050</v>
      </c>
      <c r="D61">
        <v>22</v>
      </c>
      <c r="E61" t="str">
        <f t="shared" si="1"/>
        <v>Teenager</v>
      </c>
      <c r="F61" t="s">
        <v>1159</v>
      </c>
      <c r="G61" t="s">
        <v>1161</v>
      </c>
      <c r="H61" t="s">
        <v>1180</v>
      </c>
      <c r="I61" t="s">
        <v>1191</v>
      </c>
      <c r="J61" t="s">
        <v>1193</v>
      </c>
      <c r="K61" s="2">
        <v>45725</v>
      </c>
      <c r="L61" s="2" t="str">
        <f t="shared" si="0"/>
        <v>March</v>
      </c>
      <c r="M61">
        <v>4</v>
      </c>
      <c r="N61">
        <v>24000</v>
      </c>
    </row>
    <row r="62" spans="1:14" x14ac:dyDescent="0.3">
      <c r="A62" t="s">
        <v>72</v>
      </c>
      <c r="B62" t="s">
        <v>572</v>
      </c>
      <c r="C62" t="s">
        <v>1063</v>
      </c>
      <c r="D62">
        <v>20</v>
      </c>
      <c r="E62" t="str">
        <f t="shared" si="1"/>
        <v>Teenager</v>
      </c>
      <c r="F62" t="s">
        <v>1158</v>
      </c>
      <c r="G62" t="s">
        <v>1164</v>
      </c>
      <c r="H62" t="s">
        <v>1183</v>
      </c>
      <c r="I62" t="s">
        <v>1188</v>
      </c>
      <c r="J62" t="s">
        <v>1193</v>
      </c>
      <c r="K62" s="2">
        <v>45685</v>
      </c>
      <c r="L62" s="2" t="str">
        <f t="shared" si="0"/>
        <v>January</v>
      </c>
      <c r="M62">
        <v>3</v>
      </c>
      <c r="N62">
        <v>90000</v>
      </c>
    </row>
    <row r="63" spans="1:14" x14ac:dyDescent="0.3">
      <c r="A63" t="s">
        <v>73</v>
      </c>
      <c r="B63" t="s">
        <v>573</v>
      </c>
      <c r="C63" t="s">
        <v>1064</v>
      </c>
      <c r="D63">
        <v>30</v>
      </c>
      <c r="E63" t="str">
        <f t="shared" si="1"/>
        <v>Adult</v>
      </c>
      <c r="F63" t="s">
        <v>1158</v>
      </c>
      <c r="G63" t="s">
        <v>1169</v>
      </c>
      <c r="H63" t="s">
        <v>1182</v>
      </c>
      <c r="I63" t="s">
        <v>1187</v>
      </c>
      <c r="J63" t="s">
        <v>1194</v>
      </c>
      <c r="K63" s="2">
        <v>45717</v>
      </c>
      <c r="L63" s="2" t="str">
        <f t="shared" si="0"/>
        <v>March</v>
      </c>
      <c r="M63">
        <v>5</v>
      </c>
      <c r="N63">
        <v>275000</v>
      </c>
    </row>
    <row r="64" spans="1:14" x14ac:dyDescent="0.3">
      <c r="A64" t="s">
        <v>74</v>
      </c>
      <c r="B64" t="s">
        <v>574</v>
      </c>
      <c r="C64" t="s">
        <v>1016</v>
      </c>
      <c r="D64">
        <v>23</v>
      </c>
      <c r="E64" t="str">
        <f t="shared" si="1"/>
        <v>Teenager</v>
      </c>
      <c r="F64" t="s">
        <v>1158</v>
      </c>
      <c r="G64" t="s">
        <v>1167</v>
      </c>
      <c r="H64" t="s">
        <v>1182</v>
      </c>
      <c r="I64" t="s">
        <v>1191</v>
      </c>
      <c r="J64" t="s">
        <v>1196</v>
      </c>
      <c r="K64" s="2">
        <v>45648</v>
      </c>
      <c r="L64" s="2" t="str">
        <f t="shared" si="0"/>
        <v>December</v>
      </c>
      <c r="M64">
        <v>2</v>
      </c>
      <c r="N64">
        <v>12000</v>
      </c>
    </row>
    <row r="65" spans="1:14" x14ac:dyDescent="0.3">
      <c r="A65" t="s">
        <v>75</v>
      </c>
      <c r="B65" t="s">
        <v>575</v>
      </c>
      <c r="C65" t="s">
        <v>1065</v>
      </c>
      <c r="D65">
        <v>56</v>
      </c>
      <c r="E65" t="str">
        <f t="shared" si="1"/>
        <v>Senior</v>
      </c>
      <c r="F65" t="s">
        <v>1159</v>
      </c>
      <c r="G65" t="s">
        <v>1176</v>
      </c>
      <c r="H65" t="s">
        <v>1179</v>
      </c>
      <c r="I65" t="s">
        <v>1189</v>
      </c>
      <c r="J65" t="s">
        <v>1196</v>
      </c>
      <c r="K65" s="2">
        <v>45819</v>
      </c>
      <c r="L65" s="2" t="str">
        <f t="shared" si="0"/>
        <v>June</v>
      </c>
      <c r="M65">
        <v>5</v>
      </c>
      <c r="N65">
        <v>10000</v>
      </c>
    </row>
    <row r="66" spans="1:14" x14ac:dyDescent="0.3">
      <c r="A66" t="s">
        <v>76</v>
      </c>
      <c r="B66" t="s">
        <v>576</v>
      </c>
      <c r="C66" t="s">
        <v>1066</v>
      </c>
      <c r="D66">
        <v>29</v>
      </c>
      <c r="E66" t="str">
        <f t="shared" si="1"/>
        <v>Teenager</v>
      </c>
      <c r="F66" t="s">
        <v>1159</v>
      </c>
      <c r="G66" t="s">
        <v>1163</v>
      </c>
      <c r="H66" t="s">
        <v>1182</v>
      </c>
      <c r="I66" t="s">
        <v>1189</v>
      </c>
      <c r="J66" t="s">
        <v>1196</v>
      </c>
      <c r="K66" s="2">
        <v>45909</v>
      </c>
      <c r="L66" s="2" t="str">
        <f t="shared" si="0"/>
        <v>September</v>
      </c>
      <c r="M66">
        <v>2</v>
      </c>
      <c r="N66">
        <v>4000</v>
      </c>
    </row>
    <row r="67" spans="1:14" x14ac:dyDescent="0.3">
      <c r="A67" t="s">
        <v>77</v>
      </c>
      <c r="B67" t="s">
        <v>577</v>
      </c>
      <c r="C67" t="s">
        <v>1023</v>
      </c>
      <c r="D67">
        <v>39</v>
      </c>
      <c r="E67" t="str">
        <f t="shared" si="1"/>
        <v>Adult</v>
      </c>
      <c r="F67" t="s">
        <v>1158</v>
      </c>
      <c r="G67" t="s">
        <v>1167</v>
      </c>
      <c r="H67" t="s">
        <v>1182</v>
      </c>
      <c r="I67" t="s">
        <v>1188</v>
      </c>
      <c r="J67" t="s">
        <v>1194</v>
      </c>
      <c r="K67" s="2">
        <v>45943</v>
      </c>
      <c r="L67" s="2" t="str">
        <f t="shared" ref="L67:L130" si="2">TEXT(K67,"mmmm")</f>
        <v>October</v>
      </c>
      <c r="M67">
        <v>3</v>
      </c>
      <c r="N67">
        <v>90000</v>
      </c>
    </row>
    <row r="68" spans="1:14" x14ac:dyDescent="0.3">
      <c r="A68" t="s">
        <v>78</v>
      </c>
      <c r="B68" t="s">
        <v>578</v>
      </c>
      <c r="C68" t="s">
        <v>1067</v>
      </c>
      <c r="D68">
        <v>18</v>
      </c>
      <c r="E68" t="str">
        <f t="shared" ref="E68:E131" si="3">IF(D68&gt;=50,"Senior", IF(D68&gt;=30,"Adult", "Teenager"))</f>
        <v>Teenager</v>
      </c>
      <c r="F68" t="s">
        <v>1158</v>
      </c>
      <c r="G68" t="s">
        <v>1172</v>
      </c>
      <c r="H68" t="s">
        <v>1185</v>
      </c>
      <c r="I68" t="s">
        <v>1189</v>
      </c>
      <c r="J68" t="s">
        <v>1192</v>
      </c>
      <c r="K68" s="2">
        <v>45705</v>
      </c>
      <c r="L68" s="2" t="str">
        <f t="shared" si="2"/>
        <v>February</v>
      </c>
      <c r="M68">
        <v>1</v>
      </c>
      <c r="N68">
        <v>2000</v>
      </c>
    </row>
    <row r="69" spans="1:14" x14ac:dyDescent="0.3">
      <c r="A69" t="s">
        <v>79</v>
      </c>
      <c r="B69" t="s">
        <v>579</v>
      </c>
      <c r="C69" t="s">
        <v>1035</v>
      </c>
      <c r="D69">
        <v>38</v>
      </c>
      <c r="E69" t="str">
        <f t="shared" si="3"/>
        <v>Adult</v>
      </c>
      <c r="F69" t="s">
        <v>1158</v>
      </c>
      <c r="G69" t="s">
        <v>1165</v>
      </c>
      <c r="H69" t="s">
        <v>1179</v>
      </c>
      <c r="I69" t="s">
        <v>1187</v>
      </c>
      <c r="J69" t="s">
        <v>1196</v>
      </c>
      <c r="K69" s="2">
        <v>45746</v>
      </c>
      <c r="L69" s="2" t="str">
        <f t="shared" si="2"/>
        <v>March</v>
      </c>
      <c r="M69">
        <v>1</v>
      </c>
      <c r="N69">
        <v>55000</v>
      </c>
    </row>
    <row r="70" spans="1:14" x14ac:dyDescent="0.3">
      <c r="A70" t="s">
        <v>80</v>
      </c>
      <c r="B70" t="s">
        <v>580</v>
      </c>
      <c r="C70" t="s">
        <v>1051</v>
      </c>
      <c r="D70">
        <v>31</v>
      </c>
      <c r="E70" t="str">
        <f t="shared" si="3"/>
        <v>Adult</v>
      </c>
      <c r="F70" t="s">
        <v>1158</v>
      </c>
      <c r="G70" t="s">
        <v>1175</v>
      </c>
      <c r="H70" t="s">
        <v>1183</v>
      </c>
      <c r="I70" t="s">
        <v>1190</v>
      </c>
      <c r="J70" t="s">
        <v>1196</v>
      </c>
      <c r="K70" s="2">
        <v>45751</v>
      </c>
      <c r="L70" s="2" t="str">
        <f t="shared" si="2"/>
        <v>April</v>
      </c>
      <c r="M70">
        <v>3</v>
      </c>
      <c r="N70">
        <v>45000</v>
      </c>
    </row>
    <row r="71" spans="1:14" x14ac:dyDescent="0.3">
      <c r="A71" t="s">
        <v>81</v>
      </c>
      <c r="B71" t="s">
        <v>581</v>
      </c>
      <c r="C71" t="s">
        <v>1068</v>
      </c>
      <c r="D71">
        <v>46</v>
      </c>
      <c r="E71" t="str">
        <f t="shared" si="3"/>
        <v>Adult</v>
      </c>
      <c r="F71" t="s">
        <v>1158</v>
      </c>
      <c r="G71" t="s">
        <v>1162</v>
      </c>
      <c r="H71" t="s">
        <v>1181</v>
      </c>
      <c r="I71" t="s">
        <v>1189</v>
      </c>
      <c r="J71" t="s">
        <v>1195</v>
      </c>
      <c r="K71" s="2">
        <v>45937</v>
      </c>
      <c r="L71" s="2" t="str">
        <f t="shared" si="2"/>
        <v>October</v>
      </c>
      <c r="M71">
        <v>2</v>
      </c>
      <c r="N71">
        <v>4000</v>
      </c>
    </row>
    <row r="72" spans="1:14" x14ac:dyDescent="0.3">
      <c r="A72" t="s">
        <v>82</v>
      </c>
      <c r="B72" t="s">
        <v>582</v>
      </c>
      <c r="C72" t="s">
        <v>1031</v>
      </c>
      <c r="D72">
        <v>38</v>
      </c>
      <c r="E72" t="str">
        <f t="shared" si="3"/>
        <v>Adult</v>
      </c>
      <c r="F72" t="s">
        <v>1158</v>
      </c>
      <c r="G72" t="s">
        <v>1166</v>
      </c>
      <c r="H72" t="s">
        <v>1184</v>
      </c>
      <c r="I72" t="s">
        <v>1190</v>
      </c>
      <c r="J72" t="s">
        <v>1193</v>
      </c>
      <c r="K72" s="2">
        <v>45852</v>
      </c>
      <c r="L72" s="2" t="str">
        <f t="shared" si="2"/>
        <v>July</v>
      </c>
      <c r="M72">
        <v>1</v>
      </c>
      <c r="N72">
        <v>15000</v>
      </c>
    </row>
    <row r="73" spans="1:14" x14ac:dyDescent="0.3">
      <c r="A73" t="s">
        <v>83</v>
      </c>
      <c r="B73" t="s">
        <v>583</v>
      </c>
      <c r="C73" t="s">
        <v>1069</v>
      </c>
      <c r="D73">
        <v>51</v>
      </c>
      <c r="E73" t="str">
        <f t="shared" si="3"/>
        <v>Senior</v>
      </c>
      <c r="F73" t="s">
        <v>1159</v>
      </c>
      <c r="G73" t="s">
        <v>1178</v>
      </c>
      <c r="H73" t="s">
        <v>1180</v>
      </c>
      <c r="I73" t="s">
        <v>1187</v>
      </c>
      <c r="J73" t="s">
        <v>1193</v>
      </c>
      <c r="K73" s="2">
        <v>45667</v>
      </c>
      <c r="L73" s="2" t="str">
        <f t="shared" si="2"/>
        <v>January</v>
      </c>
      <c r="M73">
        <v>3</v>
      </c>
      <c r="N73">
        <v>165000</v>
      </c>
    </row>
    <row r="74" spans="1:14" x14ac:dyDescent="0.3">
      <c r="A74" t="s">
        <v>84</v>
      </c>
      <c r="B74" t="s">
        <v>584</v>
      </c>
      <c r="C74" t="s">
        <v>1038</v>
      </c>
      <c r="D74">
        <v>54</v>
      </c>
      <c r="E74" t="str">
        <f t="shared" si="3"/>
        <v>Senior</v>
      </c>
      <c r="F74" t="s">
        <v>1158</v>
      </c>
      <c r="G74" t="s">
        <v>1178</v>
      </c>
      <c r="H74" t="s">
        <v>1180</v>
      </c>
      <c r="I74" t="s">
        <v>1191</v>
      </c>
      <c r="J74" t="s">
        <v>1196</v>
      </c>
      <c r="K74" s="2">
        <v>45797</v>
      </c>
      <c r="L74" s="2" t="str">
        <f t="shared" si="2"/>
        <v>May</v>
      </c>
      <c r="M74">
        <v>4</v>
      </c>
      <c r="N74">
        <v>24000</v>
      </c>
    </row>
    <row r="75" spans="1:14" x14ac:dyDescent="0.3">
      <c r="A75" t="s">
        <v>85</v>
      </c>
      <c r="B75" t="s">
        <v>585</v>
      </c>
      <c r="C75" t="s">
        <v>1064</v>
      </c>
      <c r="D75">
        <v>20</v>
      </c>
      <c r="E75" t="str">
        <f t="shared" si="3"/>
        <v>Teenager</v>
      </c>
      <c r="F75" t="s">
        <v>1158</v>
      </c>
      <c r="G75" t="s">
        <v>1177</v>
      </c>
      <c r="H75" t="s">
        <v>1184</v>
      </c>
      <c r="I75" t="s">
        <v>1186</v>
      </c>
      <c r="J75" t="s">
        <v>1194</v>
      </c>
      <c r="K75" s="2">
        <v>45679</v>
      </c>
      <c r="L75" s="2" t="str">
        <f t="shared" si="2"/>
        <v>January</v>
      </c>
      <c r="M75">
        <v>2</v>
      </c>
      <c r="N75">
        <v>5000</v>
      </c>
    </row>
    <row r="76" spans="1:14" x14ac:dyDescent="0.3">
      <c r="A76" t="s">
        <v>86</v>
      </c>
      <c r="B76" t="s">
        <v>586</v>
      </c>
      <c r="C76" t="s">
        <v>1066</v>
      </c>
      <c r="D76">
        <v>57</v>
      </c>
      <c r="E76" t="str">
        <f t="shared" si="3"/>
        <v>Senior</v>
      </c>
      <c r="F76" t="s">
        <v>1158</v>
      </c>
      <c r="G76" t="s">
        <v>1173</v>
      </c>
      <c r="H76" t="s">
        <v>1185</v>
      </c>
      <c r="I76" t="s">
        <v>1189</v>
      </c>
      <c r="J76" t="s">
        <v>1193</v>
      </c>
      <c r="K76" s="2">
        <v>45652</v>
      </c>
      <c r="L76" s="2" t="str">
        <f t="shared" si="2"/>
        <v>December</v>
      </c>
      <c r="M76">
        <v>4</v>
      </c>
      <c r="N76">
        <v>8000</v>
      </c>
    </row>
    <row r="77" spans="1:14" x14ac:dyDescent="0.3">
      <c r="A77" t="s">
        <v>87</v>
      </c>
      <c r="B77" t="s">
        <v>587</v>
      </c>
      <c r="C77" t="s">
        <v>1070</v>
      </c>
      <c r="D77">
        <v>22</v>
      </c>
      <c r="E77" t="str">
        <f t="shared" si="3"/>
        <v>Teenager</v>
      </c>
      <c r="F77" t="s">
        <v>1158</v>
      </c>
      <c r="G77" t="s">
        <v>1160</v>
      </c>
      <c r="H77" t="s">
        <v>1179</v>
      </c>
      <c r="I77" t="s">
        <v>1186</v>
      </c>
      <c r="J77" t="s">
        <v>1192</v>
      </c>
      <c r="K77" s="2">
        <v>45663</v>
      </c>
      <c r="L77" s="2" t="str">
        <f t="shared" si="2"/>
        <v>January</v>
      </c>
      <c r="M77">
        <v>3</v>
      </c>
      <c r="N77">
        <v>7500</v>
      </c>
    </row>
    <row r="78" spans="1:14" x14ac:dyDescent="0.3">
      <c r="A78" t="s">
        <v>88</v>
      </c>
      <c r="B78" t="s">
        <v>588</v>
      </c>
      <c r="C78" t="s">
        <v>1071</v>
      </c>
      <c r="D78">
        <v>45</v>
      </c>
      <c r="E78" t="str">
        <f t="shared" si="3"/>
        <v>Adult</v>
      </c>
      <c r="F78" t="s">
        <v>1159</v>
      </c>
      <c r="G78" t="s">
        <v>1166</v>
      </c>
      <c r="H78" t="s">
        <v>1184</v>
      </c>
      <c r="I78" t="s">
        <v>1191</v>
      </c>
      <c r="J78" t="s">
        <v>1195</v>
      </c>
      <c r="K78" s="2">
        <v>45642</v>
      </c>
      <c r="L78" s="2" t="str">
        <f t="shared" si="2"/>
        <v>December</v>
      </c>
      <c r="M78">
        <v>1</v>
      </c>
      <c r="N78">
        <v>6000</v>
      </c>
    </row>
    <row r="79" spans="1:14" x14ac:dyDescent="0.3">
      <c r="A79" t="s">
        <v>89</v>
      </c>
      <c r="B79" t="s">
        <v>589</v>
      </c>
      <c r="C79" t="s">
        <v>1024</v>
      </c>
      <c r="D79">
        <v>24</v>
      </c>
      <c r="E79" t="str">
        <f t="shared" si="3"/>
        <v>Teenager</v>
      </c>
      <c r="F79" t="s">
        <v>1158</v>
      </c>
      <c r="G79" t="s">
        <v>1162</v>
      </c>
      <c r="H79" t="s">
        <v>1181</v>
      </c>
      <c r="I79" t="s">
        <v>1190</v>
      </c>
      <c r="J79" t="s">
        <v>1196</v>
      </c>
      <c r="K79" s="2">
        <v>45795</v>
      </c>
      <c r="L79" s="2" t="str">
        <f t="shared" si="2"/>
        <v>May</v>
      </c>
      <c r="M79">
        <v>5</v>
      </c>
      <c r="N79">
        <v>75000</v>
      </c>
    </row>
    <row r="80" spans="1:14" x14ac:dyDescent="0.3">
      <c r="A80" t="s">
        <v>90</v>
      </c>
      <c r="B80" t="s">
        <v>590</v>
      </c>
      <c r="C80" t="s">
        <v>1072</v>
      </c>
      <c r="D80">
        <v>52</v>
      </c>
      <c r="E80" t="str">
        <f t="shared" si="3"/>
        <v>Senior</v>
      </c>
      <c r="F80" t="s">
        <v>1158</v>
      </c>
      <c r="G80" t="s">
        <v>1162</v>
      </c>
      <c r="H80" t="s">
        <v>1181</v>
      </c>
      <c r="I80" t="s">
        <v>1190</v>
      </c>
      <c r="J80" t="s">
        <v>1192</v>
      </c>
      <c r="K80" s="2">
        <v>45779</v>
      </c>
      <c r="L80" s="2" t="str">
        <f t="shared" si="2"/>
        <v>May</v>
      </c>
      <c r="M80">
        <v>5</v>
      </c>
      <c r="N80">
        <v>75000</v>
      </c>
    </row>
    <row r="81" spans="1:14" x14ac:dyDescent="0.3">
      <c r="A81" t="s">
        <v>91</v>
      </c>
      <c r="B81" t="s">
        <v>591</v>
      </c>
      <c r="C81" t="s">
        <v>1073</v>
      </c>
      <c r="D81">
        <v>46</v>
      </c>
      <c r="E81" t="str">
        <f t="shared" si="3"/>
        <v>Adult</v>
      </c>
      <c r="F81" t="s">
        <v>1158</v>
      </c>
      <c r="G81" t="s">
        <v>1171</v>
      </c>
      <c r="H81" t="s">
        <v>1184</v>
      </c>
      <c r="I81" t="s">
        <v>1186</v>
      </c>
      <c r="J81" t="s">
        <v>1196</v>
      </c>
      <c r="K81" s="2">
        <v>45711</v>
      </c>
      <c r="L81" s="2" t="str">
        <f t="shared" si="2"/>
        <v>February</v>
      </c>
      <c r="M81">
        <v>4</v>
      </c>
      <c r="N81">
        <v>10000</v>
      </c>
    </row>
    <row r="82" spans="1:14" x14ac:dyDescent="0.3">
      <c r="A82" t="s">
        <v>92</v>
      </c>
      <c r="B82" t="s">
        <v>592</v>
      </c>
      <c r="C82" t="s">
        <v>1045</v>
      </c>
      <c r="D82">
        <v>31</v>
      </c>
      <c r="E82" t="str">
        <f t="shared" si="3"/>
        <v>Adult</v>
      </c>
      <c r="F82" t="s">
        <v>1158</v>
      </c>
      <c r="G82" t="s">
        <v>1176</v>
      </c>
      <c r="H82" t="s">
        <v>1179</v>
      </c>
      <c r="I82" t="s">
        <v>1191</v>
      </c>
      <c r="J82" t="s">
        <v>1194</v>
      </c>
      <c r="K82" s="2">
        <v>45805</v>
      </c>
      <c r="L82" s="2" t="str">
        <f t="shared" si="2"/>
        <v>May</v>
      </c>
      <c r="M82">
        <v>3</v>
      </c>
      <c r="N82">
        <v>18000</v>
      </c>
    </row>
    <row r="83" spans="1:14" x14ac:dyDescent="0.3">
      <c r="A83" t="s">
        <v>93</v>
      </c>
      <c r="B83" t="s">
        <v>593</v>
      </c>
      <c r="C83" t="s">
        <v>1034</v>
      </c>
      <c r="D83">
        <v>61</v>
      </c>
      <c r="E83" t="str">
        <f t="shared" si="3"/>
        <v>Senior</v>
      </c>
      <c r="F83" t="s">
        <v>1158</v>
      </c>
      <c r="G83" t="s">
        <v>1172</v>
      </c>
      <c r="H83" t="s">
        <v>1185</v>
      </c>
      <c r="I83" t="s">
        <v>1187</v>
      </c>
      <c r="J83" t="s">
        <v>1194</v>
      </c>
      <c r="K83" s="2">
        <v>45721</v>
      </c>
      <c r="L83" s="2" t="str">
        <f t="shared" si="2"/>
        <v>March</v>
      </c>
      <c r="M83">
        <v>5</v>
      </c>
      <c r="N83">
        <v>275000</v>
      </c>
    </row>
    <row r="84" spans="1:14" x14ac:dyDescent="0.3">
      <c r="A84" t="s">
        <v>94</v>
      </c>
      <c r="B84" t="s">
        <v>594</v>
      </c>
      <c r="C84" t="s">
        <v>1074</v>
      </c>
      <c r="D84">
        <v>60</v>
      </c>
      <c r="E84" t="str">
        <f t="shared" si="3"/>
        <v>Senior</v>
      </c>
      <c r="F84" t="s">
        <v>1159</v>
      </c>
      <c r="G84" t="s">
        <v>1168</v>
      </c>
      <c r="H84" t="s">
        <v>1185</v>
      </c>
      <c r="I84" t="s">
        <v>1191</v>
      </c>
      <c r="J84" t="s">
        <v>1195</v>
      </c>
      <c r="K84" s="2">
        <v>45708</v>
      </c>
      <c r="L84" s="2" t="str">
        <f t="shared" si="2"/>
        <v>February</v>
      </c>
      <c r="M84">
        <v>5</v>
      </c>
      <c r="N84">
        <v>30000</v>
      </c>
    </row>
    <row r="85" spans="1:14" x14ac:dyDescent="0.3">
      <c r="A85" t="s">
        <v>95</v>
      </c>
      <c r="B85" t="s">
        <v>595</v>
      </c>
      <c r="C85" t="s">
        <v>1075</v>
      </c>
      <c r="D85">
        <v>18</v>
      </c>
      <c r="E85" t="str">
        <f t="shared" si="3"/>
        <v>Teenager</v>
      </c>
      <c r="F85" t="s">
        <v>1159</v>
      </c>
      <c r="G85" t="s">
        <v>1162</v>
      </c>
      <c r="H85" t="s">
        <v>1181</v>
      </c>
      <c r="I85" t="s">
        <v>1186</v>
      </c>
      <c r="J85" t="s">
        <v>1195</v>
      </c>
      <c r="K85" s="2">
        <v>45746</v>
      </c>
      <c r="L85" s="2" t="str">
        <f t="shared" si="2"/>
        <v>March</v>
      </c>
      <c r="M85">
        <v>4</v>
      </c>
      <c r="N85">
        <v>10000</v>
      </c>
    </row>
    <row r="86" spans="1:14" x14ac:dyDescent="0.3">
      <c r="A86" t="s">
        <v>96</v>
      </c>
      <c r="B86" t="s">
        <v>596</v>
      </c>
      <c r="C86" t="s">
        <v>1076</v>
      </c>
      <c r="D86">
        <v>49</v>
      </c>
      <c r="E86" t="str">
        <f t="shared" si="3"/>
        <v>Adult</v>
      </c>
      <c r="F86" t="s">
        <v>1158</v>
      </c>
      <c r="G86" t="s">
        <v>1173</v>
      </c>
      <c r="H86" t="s">
        <v>1185</v>
      </c>
      <c r="I86" t="s">
        <v>1190</v>
      </c>
      <c r="J86" t="s">
        <v>1196</v>
      </c>
      <c r="K86" s="2">
        <v>45736</v>
      </c>
      <c r="L86" s="2" t="str">
        <f t="shared" si="2"/>
        <v>March</v>
      </c>
      <c r="M86">
        <v>1</v>
      </c>
      <c r="N86">
        <v>15000</v>
      </c>
    </row>
    <row r="87" spans="1:14" x14ac:dyDescent="0.3">
      <c r="A87" t="s">
        <v>97</v>
      </c>
      <c r="B87" t="s">
        <v>597</v>
      </c>
      <c r="C87" t="s">
        <v>1077</v>
      </c>
      <c r="D87">
        <v>18</v>
      </c>
      <c r="E87" t="str">
        <f t="shared" si="3"/>
        <v>Teenager</v>
      </c>
      <c r="F87" t="s">
        <v>1159</v>
      </c>
      <c r="G87" t="s">
        <v>1161</v>
      </c>
      <c r="H87" t="s">
        <v>1180</v>
      </c>
      <c r="I87" t="s">
        <v>1190</v>
      </c>
      <c r="J87" t="s">
        <v>1194</v>
      </c>
      <c r="K87" s="2">
        <v>45885</v>
      </c>
      <c r="L87" s="2" t="str">
        <f t="shared" si="2"/>
        <v>August</v>
      </c>
      <c r="M87">
        <v>5</v>
      </c>
      <c r="N87">
        <v>75000</v>
      </c>
    </row>
    <row r="88" spans="1:14" x14ac:dyDescent="0.3">
      <c r="A88" t="s">
        <v>98</v>
      </c>
      <c r="B88" t="s">
        <v>598</v>
      </c>
      <c r="C88" t="s">
        <v>1078</v>
      </c>
      <c r="D88">
        <v>60</v>
      </c>
      <c r="E88" t="str">
        <f t="shared" si="3"/>
        <v>Senior</v>
      </c>
      <c r="F88" t="s">
        <v>1159</v>
      </c>
      <c r="G88" t="s">
        <v>1173</v>
      </c>
      <c r="H88" t="s">
        <v>1185</v>
      </c>
      <c r="I88" t="s">
        <v>1190</v>
      </c>
      <c r="J88" t="s">
        <v>1195</v>
      </c>
      <c r="K88" s="2">
        <v>45646</v>
      </c>
      <c r="L88" s="2" t="str">
        <f t="shared" si="2"/>
        <v>December</v>
      </c>
      <c r="M88">
        <v>3</v>
      </c>
      <c r="N88">
        <v>45000</v>
      </c>
    </row>
    <row r="89" spans="1:14" x14ac:dyDescent="0.3">
      <c r="A89" t="s">
        <v>99</v>
      </c>
      <c r="B89" t="s">
        <v>599</v>
      </c>
      <c r="C89" t="s">
        <v>1079</v>
      </c>
      <c r="D89">
        <v>46</v>
      </c>
      <c r="E89" t="str">
        <f t="shared" si="3"/>
        <v>Adult</v>
      </c>
      <c r="F89" t="s">
        <v>1159</v>
      </c>
      <c r="G89" t="s">
        <v>1169</v>
      </c>
      <c r="H89" t="s">
        <v>1182</v>
      </c>
      <c r="I89" t="s">
        <v>1186</v>
      </c>
      <c r="J89" t="s">
        <v>1196</v>
      </c>
      <c r="K89" s="2">
        <v>45912</v>
      </c>
      <c r="L89" s="2" t="str">
        <f t="shared" si="2"/>
        <v>September</v>
      </c>
      <c r="M89">
        <v>4</v>
      </c>
      <c r="N89">
        <v>10000</v>
      </c>
    </row>
    <row r="90" spans="1:14" x14ac:dyDescent="0.3">
      <c r="A90" t="s">
        <v>100</v>
      </c>
      <c r="B90" t="s">
        <v>600</v>
      </c>
      <c r="C90" t="s">
        <v>1060</v>
      </c>
      <c r="D90">
        <v>52</v>
      </c>
      <c r="E90" t="str">
        <f t="shared" si="3"/>
        <v>Senior</v>
      </c>
      <c r="F90" t="s">
        <v>1159</v>
      </c>
      <c r="G90" t="s">
        <v>1169</v>
      </c>
      <c r="H90" t="s">
        <v>1182</v>
      </c>
      <c r="I90" t="s">
        <v>1188</v>
      </c>
      <c r="J90" t="s">
        <v>1193</v>
      </c>
      <c r="K90" s="2">
        <v>45643</v>
      </c>
      <c r="L90" s="2" t="str">
        <f t="shared" si="2"/>
        <v>December</v>
      </c>
      <c r="M90">
        <v>5</v>
      </c>
      <c r="N90">
        <v>150000</v>
      </c>
    </row>
    <row r="91" spans="1:14" x14ac:dyDescent="0.3">
      <c r="A91" t="s">
        <v>101</v>
      </c>
      <c r="B91" t="s">
        <v>601</v>
      </c>
      <c r="C91" t="s">
        <v>1080</v>
      </c>
      <c r="D91">
        <v>37</v>
      </c>
      <c r="E91" t="str">
        <f t="shared" si="3"/>
        <v>Adult</v>
      </c>
      <c r="F91" t="s">
        <v>1159</v>
      </c>
      <c r="G91" t="s">
        <v>1162</v>
      </c>
      <c r="H91" t="s">
        <v>1181</v>
      </c>
      <c r="I91" t="s">
        <v>1188</v>
      </c>
      <c r="J91" t="s">
        <v>1196</v>
      </c>
      <c r="K91" s="2">
        <v>45595</v>
      </c>
      <c r="L91" s="2" t="str">
        <f t="shared" si="2"/>
        <v>October</v>
      </c>
      <c r="M91">
        <v>2</v>
      </c>
      <c r="N91">
        <v>60000</v>
      </c>
    </row>
    <row r="92" spans="1:14" x14ac:dyDescent="0.3">
      <c r="A92" t="s">
        <v>102</v>
      </c>
      <c r="B92" t="s">
        <v>602</v>
      </c>
      <c r="C92" t="s">
        <v>1073</v>
      </c>
      <c r="D92">
        <v>21</v>
      </c>
      <c r="E92" t="str">
        <f t="shared" si="3"/>
        <v>Teenager</v>
      </c>
      <c r="F92" t="s">
        <v>1159</v>
      </c>
      <c r="G92" t="s">
        <v>1169</v>
      </c>
      <c r="H92" t="s">
        <v>1182</v>
      </c>
      <c r="I92" t="s">
        <v>1189</v>
      </c>
      <c r="J92" t="s">
        <v>1193</v>
      </c>
      <c r="K92" s="2">
        <v>45692</v>
      </c>
      <c r="L92" s="2" t="str">
        <f t="shared" si="2"/>
        <v>February</v>
      </c>
      <c r="M92">
        <v>3</v>
      </c>
      <c r="N92">
        <v>6000</v>
      </c>
    </row>
    <row r="93" spans="1:14" x14ac:dyDescent="0.3">
      <c r="A93" t="s">
        <v>103</v>
      </c>
      <c r="B93" t="s">
        <v>603</v>
      </c>
      <c r="C93" t="s">
        <v>1081</v>
      </c>
      <c r="D93">
        <v>52</v>
      </c>
      <c r="E93" t="str">
        <f t="shared" si="3"/>
        <v>Senior</v>
      </c>
      <c r="F93" t="s">
        <v>1159</v>
      </c>
      <c r="G93" t="s">
        <v>1166</v>
      </c>
      <c r="H93" t="s">
        <v>1184</v>
      </c>
      <c r="I93" t="s">
        <v>1191</v>
      </c>
      <c r="J93" t="s">
        <v>1193</v>
      </c>
      <c r="K93" s="2">
        <v>45733</v>
      </c>
      <c r="L93" s="2" t="str">
        <f t="shared" si="2"/>
        <v>March</v>
      </c>
      <c r="M93">
        <v>5</v>
      </c>
      <c r="N93">
        <v>30000</v>
      </c>
    </row>
    <row r="94" spans="1:14" x14ac:dyDescent="0.3">
      <c r="A94" t="s">
        <v>104</v>
      </c>
      <c r="B94" t="s">
        <v>604</v>
      </c>
      <c r="C94" t="s">
        <v>1082</v>
      </c>
      <c r="D94">
        <v>58</v>
      </c>
      <c r="E94" t="str">
        <f t="shared" si="3"/>
        <v>Senior</v>
      </c>
      <c r="F94" t="s">
        <v>1159</v>
      </c>
      <c r="G94" t="s">
        <v>1169</v>
      </c>
      <c r="H94" t="s">
        <v>1182</v>
      </c>
      <c r="I94" t="s">
        <v>1188</v>
      </c>
      <c r="J94" t="s">
        <v>1192</v>
      </c>
      <c r="K94" s="2">
        <v>45927</v>
      </c>
      <c r="L94" s="2" t="str">
        <f t="shared" si="2"/>
        <v>September</v>
      </c>
      <c r="M94">
        <v>1</v>
      </c>
      <c r="N94">
        <v>30000</v>
      </c>
    </row>
    <row r="95" spans="1:14" x14ac:dyDescent="0.3">
      <c r="A95" t="s">
        <v>105</v>
      </c>
      <c r="B95" t="s">
        <v>605</v>
      </c>
      <c r="C95" t="s">
        <v>1083</v>
      </c>
      <c r="D95">
        <v>49</v>
      </c>
      <c r="E95" t="str">
        <f t="shared" si="3"/>
        <v>Adult</v>
      </c>
      <c r="F95" t="s">
        <v>1158</v>
      </c>
      <c r="G95" t="s">
        <v>1161</v>
      </c>
      <c r="H95" t="s">
        <v>1180</v>
      </c>
      <c r="I95" t="s">
        <v>1186</v>
      </c>
      <c r="J95" t="s">
        <v>1193</v>
      </c>
      <c r="K95" s="2">
        <v>45808</v>
      </c>
      <c r="L95" s="2" t="str">
        <f t="shared" si="2"/>
        <v>May</v>
      </c>
      <c r="M95">
        <v>2</v>
      </c>
      <c r="N95">
        <v>5000</v>
      </c>
    </row>
    <row r="96" spans="1:14" x14ac:dyDescent="0.3">
      <c r="A96" t="s">
        <v>106</v>
      </c>
      <c r="B96" t="s">
        <v>606</v>
      </c>
      <c r="C96" t="s">
        <v>1060</v>
      </c>
      <c r="D96">
        <v>61</v>
      </c>
      <c r="E96" t="str">
        <f t="shared" si="3"/>
        <v>Senior</v>
      </c>
      <c r="F96" t="s">
        <v>1159</v>
      </c>
      <c r="G96" t="s">
        <v>1162</v>
      </c>
      <c r="H96" t="s">
        <v>1181</v>
      </c>
      <c r="I96" t="s">
        <v>1189</v>
      </c>
      <c r="J96" t="s">
        <v>1195</v>
      </c>
      <c r="K96" s="2">
        <v>45944</v>
      </c>
      <c r="L96" s="2" t="str">
        <f t="shared" si="2"/>
        <v>October</v>
      </c>
      <c r="M96">
        <v>3</v>
      </c>
      <c r="N96">
        <v>6000</v>
      </c>
    </row>
    <row r="97" spans="1:14" x14ac:dyDescent="0.3">
      <c r="A97" t="s">
        <v>107</v>
      </c>
      <c r="B97" t="s">
        <v>607</v>
      </c>
      <c r="C97" t="s">
        <v>1034</v>
      </c>
      <c r="D97">
        <v>45</v>
      </c>
      <c r="E97" t="str">
        <f t="shared" si="3"/>
        <v>Adult</v>
      </c>
      <c r="F97" t="s">
        <v>1158</v>
      </c>
      <c r="G97" t="s">
        <v>1166</v>
      </c>
      <c r="H97" t="s">
        <v>1184</v>
      </c>
      <c r="I97" t="s">
        <v>1191</v>
      </c>
      <c r="J97" t="s">
        <v>1196</v>
      </c>
      <c r="K97" s="2">
        <v>45696</v>
      </c>
      <c r="L97" s="2" t="str">
        <f t="shared" si="2"/>
        <v>February</v>
      </c>
      <c r="M97">
        <v>5</v>
      </c>
      <c r="N97">
        <v>30000</v>
      </c>
    </row>
    <row r="98" spans="1:14" x14ac:dyDescent="0.3">
      <c r="A98" t="s">
        <v>108</v>
      </c>
      <c r="B98" t="s">
        <v>608</v>
      </c>
      <c r="C98" t="s">
        <v>1071</v>
      </c>
      <c r="D98">
        <v>20</v>
      </c>
      <c r="E98" t="str">
        <f t="shared" si="3"/>
        <v>Teenager</v>
      </c>
      <c r="F98" t="s">
        <v>1158</v>
      </c>
      <c r="G98" t="s">
        <v>1178</v>
      </c>
      <c r="H98" t="s">
        <v>1180</v>
      </c>
      <c r="I98" t="s">
        <v>1189</v>
      </c>
      <c r="J98" t="s">
        <v>1193</v>
      </c>
      <c r="K98" s="2">
        <v>45651</v>
      </c>
      <c r="L98" s="2" t="str">
        <f t="shared" si="2"/>
        <v>December</v>
      </c>
      <c r="M98">
        <v>4</v>
      </c>
      <c r="N98">
        <v>8000</v>
      </c>
    </row>
    <row r="99" spans="1:14" x14ac:dyDescent="0.3">
      <c r="A99" t="s">
        <v>109</v>
      </c>
      <c r="B99" t="s">
        <v>609</v>
      </c>
      <c r="C99" t="s">
        <v>1084</v>
      </c>
      <c r="D99">
        <v>51</v>
      </c>
      <c r="E99" t="str">
        <f t="shared" si="3"/>
        <v>Senior</v>
      </c>
      <c r="F99" t="s">
        <v>1159</v>
      </c>
      <c r="G99" t="s">
        <v>1161</v>
      </c>
      <c r="H99" t="s">
        <v>1180</v>
      </c>
      <c r="I99" t="s">
        <v>1190</v>
      </c>
      <c r="J99" t="s">
        <v>1194</v>
      </c>
      <c r="K99" s="2">
        <v>45901</v>
      </c>
      <c r="L99" s="2" t="str">
        <f t="shared" si="2"/>
        <v>September</v>
      </c>
      <c r="M99">
        <v>4</v>
      </c>
      <c r="N99">
        <v>60000</v>
      </c>
    </row>
    <row r="100" spans="1:14" x14ac:dyDescent="0.3">
      <c r="A100" t="s">
        <v>110</v>
      </c>
      <c r="B100" t="s">
        <v>610</v>
      </c>
      <c r="C100" t="s">
        <v>1069</v>
      </c>
      <c r="D100">
        <v>20</v>
      </c>
      <c r="E100" t="str">
        <f t="shared" si="3"/>
        <v>Teenager</v>
      </c>
      <c r="F100" t="s">
        <v>1159</v>
      </c>
      <c r="G100" t="s">
        <v>1167</v>
      </c>
      <c r="H100" t="s">
        <v>1182</v>
      </c>
      <c r="I100" t="s">
        <v>1189</v>
      </c>
      <c r="J100" t="s">
        <v>1193</v>
      </c>
      <c r="K100" s="2">
        <v>45592</v>
      </c>
      <c r="L100" s="2" t="str">
        <f t="shared" si="2"/>
        <v>October</v>
      </c>
      <c r="M100">
        <v>1</v>
      </c>
      <c r="N100">
        <v>2000</v>
      </c>
    </row>
    <row r="101" spans="1:14" x14ac:dyDescent="0.3">
      <c r="A101" t="s">
        <v>111</v>
      </c>
      <c r="B101" t="s">
        <v>611</v>
      </c>
      <c r="C101" t="s">
        <v>1016</v>
      </c>
      <c r="D101">
        <v>25</v>
      </c>
      <c r="E101" t="str">
        <f t="shared" si="3"/>
        <v>Teenager</v>
      </c>
      <c r="F101" t="s">
        <v>1159</v>
      </c>
      <c r="G101" t="s">
        <v>1160</v>
      </c>
      <c r="H101" t="s">
        <v>1179</v>
      </c>
      <c r="I101" t="s">
        <v>1186</v>
      </c>
      <c r="J101" t="s">
        <v>1193</v>
      </c>
      <c r="K101" s="2">
        <v>45860</v>
      </c>
      <c r="L101" s="2" t="str">
        <f t="shared" si="2"/>
        <v>July</v>
      </c>
      <c r="M101">
        <v>4</v>
      </c>
      <c r="N101">
        <v>10000</v>
      </c>
    </row>
    <row r="102" spans="1:14" x14ac:dyDescent="0.3">
      <c r="A102" t="s">
        <v>112</v>
      </c>
      <c r="B102" t="s">
        <v>612</v>
      </c>
      <c r="C102" t="s">
        <v>1053</v>
      </c>
      <c r="D102">
        <v>44</v>
      </c>
      <c r="E102" t="str">
        <f t="shared" si="3"/>
        <v>Adult</v>
      </c>
      <c r="F102" t="s">
        <v>1158</v>
      </c>
      <c r="G102" t="s">
        <v>1176</v>
      </c>
      <c r="H102" t="s">
        <v>1179</v>
      </c>
      <c r="I102" t="s">
        <v>1188</v>
      </c>
      <c r="J102" t="s">
        <v>1196</v>
      </c>
      <c r="K102" s="2">
        <v>45835</v>
      </c>
      <c r="L102" s="2" t="str">
        <f t="shared" si="2"/>
        <v>June</v>
      </c>
      <c r="M102">
        <v>2</v>
      </c>
      <c r="N102">
        <v>60000</v>
      </c>
    </row>
    <row r="103" spans="1:14" x14ac:dyDescent="0.3">
      <c r="A103" t="s">
        <v>113</v>
      </c>
      <c r="B103" t="s">
        <v>613</v>
      </c>
      <c r="C103" t="s">
        <v>1085</v>
      </c>
      <c r="D103">
        <v>35</v>
      </c>
      <c r="E103" t="str">
        <f t="shared" si="3"/>
        <v>Adult</v>
      </c>
      <c r="F103" t="s">
        <v>1158</v>
      </c>
      <c r="G103" t="s">
        <v>1160</v>
      </c>
      <c r="H103" t="s">
        <v>1179</v>
      </c>
      <c r="I103" t="s">
        <v>1191</v>
      </c>
      <c r="J103" t="s">
        <v>1193</v>
      </c>
      <c r="K103" s="2">
        <v>45634</v>
      </c>
      <c r="L103" s="2" t="str">
        <f t="shared" si="2"/>
        <v>December</v>
      </c>
      <c r="M103">
        <v>4</v>
      </c>
      <c r="N103">
        <v>24000</v>
      </c>
    </row>
    <row r="104" spans="1:14" x14ac:dyDescent="0.3">
      <c r="A104" t="s">
        <v>114</v>
      </c>
      <c r="B104" t="s">
        <v>614</v>
      </c>
      <c r="C104" t="s">
        <v>1086</v>
      </c>
      <c r="D104">
        <v>45</v>
      </c>
      <c r="E104" t="str">
        <f t="shared" si="3"/>
        <v>Adult</v>
      </c>
      <c r="F104" t="s">
        <v>1159</v>
      </c>
      <c r="G104" t="s">
        <v>1178</v>
      </c>
      <c r="H104" t="s">
        <v>1180</v>
      </c>
      <c r="I104" t="s">
        <v>1190</v>
      </c>
      <c r="J104" t="s">
        <v>1194</v>
      </c>
      <c r="K104" s="2">
        <v>45761</v>
      </c>
      <c r="L104" s="2" t="str">
        <f t="shared" si="2"/>
        <v>April</v>
      </c>
      <c r="M104">
        <v>4</v>
      </c>
      <c r="N104">
        <v>60000</v>
      </c>
    </row>
    <row r="105" spans="1:14" x14ac:dyDescent="0.3">
      <c r="A105" t="s">
        <v>115</v>
      </c>
      <c r="B105" t="s">
        <v>615</v>
      </c>
      <c r="C105" t="s">
        <v>1043</v>
      </c>
      <c r="D105">
        <v>56</v>
      </c>
      <c r="E105" t="str">
        <f t="shared" si="3"/>
        <v>Senior</v>
      </c>
      <c r="F105" t="s">
        <v>1158</v>
      </c>
      <c r="G105" t="s">
        <v>1164</v>
      </c>
      <c r="H105" t="s">
        <v>1183</v>
      </c>
      <c r="I105" t="s">
        <v>1188</v>
      </c>
      <c r="J105" t="s">
        <v>1192</v>
      </c>
      <c r="K105" s="2">
        <v>45724</v>
      </c>
      <c r="L105" s="2" t="str">
        <f t="shared" si="2"/>
        <v>March</v>
      </c>
      <c r="M105">
        <v>4</v>
      </c>
      <c r="N105">
        <v>120000</v>
      </c>
    </row>
    <row r="106" spans="1:14" x14ac:dyDescent="0.3">
      <c r="A106" t="s">
        <v>116</v>
      </c>
      <c r="B106" t="s">
        <v>616</v>
      </c>
      <c r="C106" t="s">
        <v>1087</v>
      </c>
      <c r="D106">
        <v>55</v>
      </c>
      <c r="E106" t="str">
        <f t="shared" si="3"/>
        <v>Senior</v>
      </c>
      <c r="F106" t="s">
        <v>1159</v>
      </c>
      <c r="G106" t="s">
        <v>1171</v>
      </c>
      <c r="H106" t="s">
        <v>1184</v>
      </c>
      <c r="I106" t="s">
        <v>1186</v>
      </c>
      <c r="J106" t="s">
        <v>1192</v>
      </c>
      <c r="K106" s="2">
        <v>45795</v>
      </c>
      <c r="L106" s="2" t="str">
        <f t="shared" si="2"/>
        <v>May</v>
      </c>
      <c r="M106">
        <v>3</v>
      </c>
      <c r="N106">
        <v>7500</v>
      </c>
    </row>
    <row r="107" spans="1:14" x14ac:dyDescent="0.3">
      <c r="A107" t="s">
        <v>117</v>
      </c>
      <c r="B107" t="s">
        <v>617</v>
      </c>
      <c r="C107" t="s">
        <v>1014</v>
      </c>
      <c r="D107">
        <v>30</v>
      </c>
      <c r="E107" t="str">
        <f t="shared" si="3"/>
        <v>Adult</v>
      </c>
      <c r="F107" t="s">
        <v>1159</v>
      </c>
      <c r="G107" t="s">
        <v>1166</v>
      </c>
      <c r="H107" t="s">
        <v>1184</v>
      </c>
      <c r="I107" t="s">
        <v>1191</v>
      </c>
      <c r="J107" t="s">
        <v>1192</v>
      </c>
      <c r="K107" s="2">
        <v>45866</v>
      </c>
      <c r="L107" s="2" t="str">
        <f t="shared" si="2"/>
        <v>July</v>
      </c>
      <c r="M107">
        <v>2</v>
      </c>
      <c r="N107">
        <v>12000</v>
      </c>
    </row>
    <row r="108" spans="1:14" x14ac:dyDescent="0.3">
      <c r="A108" t="s">
        <v>118</v>
      </c>
      <c r="B108" t="s">
        <v>618</v>
      </c>
      <c r="C108" t="s">
        <v>1056</v>
      </c>
      <c r="D108">
        <v>34</v>
      </c>
      <c r="E108" t="str">
        <f t="shared" si="3"/>
        <v>Adult</v>
      </c>
      <c r="F108" t="s">
        <v>1159</v>
      </c>
      <c r="G108" t="s">
        <v>1168</v>
      </c>
      <c r="H108" t="s">
        <v>1185</v>
      </c>
      <c r="I108" t="s">
        <v>1191</v>
      </c>
      <c r="J108" t="s">
        <v>1194</v>
      </c>
      <c r="K108" s="2">
        <v>45908</v>
      </c>
      <c r="L108" s="2" t="str">
        <f t="shared" si="2"/>
        <v>September</v>
      </c>
      <c r="M108">
        <v>2</v>
      </c>
      <c r="N108">
        <v>12000</v>
      </c>
    </row>
    <row r="109" spans="1:14" x14ac:dyDescent="0.3">
      <c r="A109" t="s">
        <v>119</v>
      </c>
      <c r="B109" t="s">
        <v>619</v>
      </c>
      <c r="C109" t="s">
        <v>1088</v>
      </c>
      <c r="D109">
        <v>59</v>
      </c>
      <c r="E109" t="str">
        <f t="shared" si="3"/>
        <v>Senior</v>
      </c>
      <c r="F109" t="s">
        <v>1159</v>
      </c>
      <c r="G109" t="s">
        <v>1164</v>
      </c>
      <c r="H109" t="s">
        <v>1183</v>
      </c>
      <c r="I109" t="s">
        <v>1188</v>
      </c>
      <c r="J109" t="s">
        <v>1194</v>
      </c>
      <c r="K109" s="2">
        <v>45759</v>
      </c>
      <c r="L109" s="2" t="str">
        <f t="shared" si="2"/>
        <v>April</v>
      </c>
      <c r="M109">
        <v>4</v>
      </c>
      <c r="N109">
        <v>120000</v>
      </c>
    </row>
    <row r="110" spans="1:14" x14ac:dyDescent="0.3">
      <c r="A110" t="s">
        <v>120</v>
      </c>
      <c r="B110" t="s">
        <v>620</v>
      </c>
      <c r="C110" t="s">
        <v>1015</v>
      </c>
      <c r="D110">
        <v>27</v>
      </c>
      <c r="E110" t="str">
        <f t="shared" si="3"/>
        <v>Teenager</v>
      </c>
      <c r="F110" t="s">
        <v>1159</v>
      </c>
      <c r="G110" t="s">
        <v>1176</v>
      </c>
      <c r="H110" t="s">
        <v>1179</v>
      </c>
      <c r="I110" t="s">
        <v>1187</v>
      </c>
      <c r="J110" t="s">
        <v>1196</v>
      </c>
      <c r="K110" s="2">
        <v>45721</v>
      </c>
      <c r="L110" s="2" t="str">
        <f t="shared" si="2"/>
        <v>March</v>
      </c>
      <c r="M110">
        <v>2</v>
      </c>
      <c r="N110">
        <v>110000</v>
      </c>
    </row>
    <row r="111" spans="1:14" x14ac:dyDescent="0.3">
      <c r="A111" t="s">
        <v>121</v>
      </c>
      <c r="B111" t="s">
        <v>621</v>
      </c>
      <c r="C111" t="s">
        <v>1089</v>
      </c>
      <c r="D111">
        <v>65</v>
      </c>
      <c r="E111" t="str">
        <f t="shared" si="3"/>
        <v>Senior</v>
      </c>
      <c r="F111" t="s">
        <v>1159</v>
      </c>
      <c r="G111" t="s">
        <v>1176</v>
      </c>
      <c r="H111" t="s">
        <v>1179</v>
      </c>
      <c r="I111" t="s">
        <v>1189</v>
      </c>
      <c r="J111" t="s">
        <v>1194</v>
      </c>
      <c r="K111" s="2">
        <v>45639</v>
      </c>
      <c r="L111" s="2" t="str">
        <f t="shared" si="2"/>
        <v>December</v>
      </c>
      <c r="M111">
        <v>4</v>
      </c>
      <c r="N111">
        <v>8000</v>
      </c>
    </row>
    <row r="112" spans="1:14" x14ac:dyDescent="0.3">
      <c r="A112" t="s">
        <v>122</v>
      </c>
      <c r="B112" t="s">
        <v>622</v>
      </c>
      <c r="C112" t="s">
        <v>1090</v>
      </c>
      <c r="D112">
        <v>19</v>
      </c>
      <c r="E112" t="str">
        <f t="shared" si="3"/>
        <v>Teenager</v>
      </c>
      <c r="F112" t="s">
        <v>1158</v>
      </c>
      <c r="G112" t="s">
        <v>1170</v>
      </c>
      <c r="H112" t="s">
        <v>1183</v>
      </c>
      <c r="I112" t="s">
        <v>1188</v>
      </c>
      <c r="J112" t="s">
        <v>1196</v>
      </c>
      <c r="K112" s="2">
        <v>45618</v>
      </c>
      <c r="L112" s="2" t="str">
        <f t="shared" si="2"/>
        <v>November</v>
      </c>
      <c r="M112">
        <v>5</v>
      </c>
      <c r="N112">
        <v>150000</v>
      </c>
    </row>
    <row r="113" spans="1:14" x14ac:dyDescent="0.3">
      <c r="A113" t="s">
        <v>123</v>
      </c>
      <c r="B113" t="s">
        <v>623</v>
      </c>
      <c r="C113" t="s">
        <v>1091</v>
      </c>
      <c r="D113">
        <v>18</v>
      </c>
      <c r="E113" t="str">
        <f t="shared" si="3"/>
        <v>Teenager</v>
      </c>
      <c r="F113" t="s">
        <v>1158</v>
      </c>
      <c r="G113" t="s">
        <v>1168</v>
      </c>
      <c r="H113" t="s">
        <v>1185</v>
      </c>
      <c r="I113" t="s">
        <v>1191</v>
      </c>
      <c r="J113" t="s">
        <v>1195</v>
      </c>
      <c r="K113" s="2">
        <v>45916</v>
      </c>
      <c r="L113" s="2" t="str">
        <f t="shared" si="2"/>
        <v>September</v>
      </c>
      <c r="M113">
        <v>1</v>
      </c>
      <c r="N113">
        <v>6000</v>
      </c>
    </row>
    <row r="114" spans="1:14" x14ac:dyDescent="0.3">
      <c r="A114" t="s">
        <v>124</v>
      </c>
      <c r="B114" t="s">
        <v>624</v>
      </c>
      <c r="C114" t="s">
        <v>1092</v>
      </c>
      <c r="D114">
        <v>35</v>
      </c>
      <c r="E114" t="str">
        <f t="shared" si="3"/>
        <v>Adult</v>
      </c>
      <c r="F114" t="s">
        <v>1158</v>
      </c>
      <c r="G114" t="s">
        <v>1163</v>
      </c>
      <c r="H114" t="s">
        <v>1182</v>
      </c>
      <c r="I114" t="s">
        <v>1190</v>
      </c>
      <c r="J114" t="s">
        <v>1193</v>
      </c>
      <c r="K114" s="2">
        <v>45937</v>
      </c>
      <c r="L114" s="2" t="str">
        <f t="shared" si="2"/>
        <v>October</v>
      </c>
      <c r="M114">
        <v>5</v>
      </c>
      <c r="N114">
        <v>75000</v>
      </c>
    </row>
    <row r="115" spans="1:14" x14ac:dyDescent="0.3">
      <c r="A115" t="s">
        <v>125</v>
      </c>
      <c r="B115" t="s">
        <v>625</v>
      </c>
      <c r="C115" t="s">
        <v>1093</v>
      </c>
      <c r="D115">
        <v>19</v>
      </c>
      <c r="E115" t="str">
        <f t="shared" si="3"/>
        <v>Teenager</v>
      </c>
      <c r="F115" t="s">
        <v>1158</v>
      </c>
      <c r="G115" t="s">
        <v>1175</v>
      </c>
      <c r="H115" t="s">
        <v>1183</v>
      </c>
      <c r="I115" t="s">
        <v>1190</v>
      </c>
      <c r="J115" t="s">
        <v>1192</v>
      </c>
      <c r="K115" s="2">
        <v>45768</v>
      </c>
      <c r="L115" s="2" t="str">
        <f t="shared" si="2"/>
        <v>April</v>
      </c>
      <c r="M115">
        <v>3</v>
      </c>
      <c r="N115">
        <v>45000</v>
      </c>
    </row>
    <row r="116" spans="1:14" x14ac:dyDescent="0.3">
      <c r="A116" t="s">
        <v>126</v>
      </c>
      <c r="B116" t="s">
        <v>626</v>
      </c>
      <c r="C116" t="s">
        <v>1017</v>
      </c>
      <c r="D116">
        <v>44</v>
      </c>
      <c r="E116" t="str">
        <f t="shared" si="3"/>
        <v>Adult</v>
      </c>
      <c r="F116" t="s">
        <v>1159</v>
      </c>
      <c r="G116" t="s">
        <v>1172</v>
      </c>
      <c r="H116" t="s">
        <v>1185</v>
      </c>
      <c r="I116" t="s">
        <v>1190</v>
      </c>
      <c r="J116" t="s">
        <v>1195</v>
      </c>
      <c r="K116" s="2">
        <v>45610</v>
      </c>
      <c r="L116" s="2" t="str">
        <f t="shared" si="2"/>
        <v>November</v>
      </c>
      <c r="M116">
        <v>5</v>
      </c>
      <c r="N116">
        <v>75000</v>
      </c>
    </row>
    <row r="117" spans="1:14" x14ac:dyDescent="0.3">
      <c r="A117" t="s">
        <v>127</v>
      </c>
      <c r="B117" t="s">
        <v>627</v>
      </c>
      <c r="C117" t="s">
        <v>1028</v>
      </c>
      <c r="D117">
        <v>55</v>
      </c>
      <c r="E117" t="str">
        <f t="shared" si="3"/>
        <v>Senior</v>
      </c>
      <c r="F117" t="s">
        <v>1158</v>
      </c>
      <c r="G117" t="s">
        <v>1162</v>
      </c>
      <c r="H117" t="s">
        <v>1181</v>
      </c>
      <c r="I117" t="s">
        <v>1191</v>
      </c>
      <c r="J117" t="s">
        <v>1196</v>
      </c>
      <c r="K117" s="2">
        <v>45854</v>
      </c>
      <c r="L117" s="2" t="str">
        <f t="shared" si="2"/>
        <v>July</v>
      </c>
      <c r="M117">
        <v>1</v>
      </c>
      <c r="N117">
        <v>6000</v>
      </c>
    </row>
    <row r="118" spans="1:14" x14ac:dyDescent="0.3">
      <c r="A118" t="s">
        <v>128</v>
      </c>
      <c r="B118" t="s">
        <v>628</v>
      </c>
      <c r="C118" t="s">
        <v>1094</v>
      </c>
      <c r="D118">
        <v>24</v>
      </c>
      <c r="E118" t="str">
        <f t="shared" si="3"/>
        <v>Teenager</v>
      </c>
      <c r="F118" t="s">
        <v>1159</v>
      </c>
      <c r="G118" t="s">
        <v>1167</v>
      </c>
      <c r="H118" t="s">
        <v>1182</v>
      </c>
      <c r="I118" t="s">
        <v>1189</v>
      </c>
      <c r="J118" t="s">
        <v>1192</v>
      </c>
      <c r="K118" s="2">
        <v>45614</v>
      </c>
      <c r="L118" s="2" t="str">
        <f t="shared" si="2"/>
        <v>November</v>
      </c>
      <c r="M118">
        <v>2</v>
      </c>
      <c r="N118">
        <v>4000</v>
      </c>
    </row>
    <row r="119" spans="1:14" x14ac:dyDescent="0.3">
      <c r="A119" t="s">
        <v>129</v>
      </c>
      <c r="B119" t="s">
        <v>629</v>
      </c>
      <c r="C119" t="s">
        <v>1095</v>
      </c>
      <c r="D119">
        <v>39</v>
      </c>
      <c r="E119" t="str">
        <f t="shared" si="3"/>
        <v>Adult</v>
      </c>
      <c r="F119" t="s">
        <v>1158</v>
      </c>
      <c r="G119" t="s">
        <v>1162</v>
      </c>
      <c r="H119" t="s">
        <v>1181</v>
      </c>
      <c r="I119" t="s">
        <v>1191</v>
      </c>
      <c r="J119" t="s">
        <v>1195</v>
      </c>
      <c r="K119" s="2">
        <v>45894</v>
      </c>
      <c r="L119" s="2" t="str">
        <f t="shared" si="2"/>
        <v>August</v>
      </c>
      <c r="M119">
        <v>2</v>
      </c>
      <c r="N119">
        <v>12000</v>
      </c>
    </row>
    <row r="120" spans="1:14" x14ac:dyDescent="0.3">
      <c r="A120" t="s">
        <v>130</v>
      </c>
      <c r="B120" t="s">
        <v>630</v>
      </c>
      <c r="C120" t="s">
        <v>1065</v>
      </c>
      <c r="D120">
        <v>49</v>
      </c>
      <c r="E120" t="str">
        <f t="shared" si="3"/>
        <v>Adult</v>
      </c>
      <c r="F120" t="s">
        <v>1159</v>
      </c>
      <c r="G120" t="s">
        <v>1173</v>
      </c>
      <c r="H120" t="s">
        <v>1185</v>
      </c>
      <c r="I120" t="s">
        <v>1188</v>
      </c>
      <c r="J120" t="s">
        <v>1192</v>
      </c>
      <c r="K120" s="2">
        <v>45632</v>
      </c>
      <c r="L120" s="2" t="str">
        <f t="shared" si="2"/>
        <v>December</v>
      </c>
      <c r="M120">
        <v>2</v>
      </c>
      <c r="N120">
        <v>60000</v>
      </c>
    </row>
    <row r="121" spans="1:14" x14ac:dyDescent="0.3">
      <c r="A121" t="s">
        <v>131</v>
      </c>
      <c r="B121" t="s">
        <v>631</v>
      </c>
      <c r="C121" t="s">
        <v>1096</v>
      </c>
      <c r="D121">
        <v>21</v>
      </c>
      <c r="E121" t="str">
        <f t="shared" si="3"/>
        <v>Teenager</v>
      </c>
      <c r="F121" t="s">
        <v>1158</v>
      </c>
      <c r="G121" t="s">
        <v>1162</v>
      </c>
      <c r="H121" t="s">
        <v>1181</v>
      </c>
      <c r="I121" t="s">
        <v>1187</v>
      </c>
      <c r="J121" t="s">
        <v>1195</v>
      </c>
      <c r="K121" s="2">
        <v>45910</v>
      </c>
      <c r="L121" s="2" t="str">
        <f t="shared" si="2"/>
        <v>September</v>
      </c>
      <c r="M121">
        <v>1</v>
      </c>
      <c r="N121">
        <v>55000</v>
      </c>
    </row>
    <row r="122" spans="1:14" x14ac:dyDescent="0.3">
      <c r="A122" t="s">
        <v>132</v>
      </c>
      <c r="B122" t="s">
        <v>632</v>
      </c>
      <c r="C122" t="s">
        <v>1076</v>
      </c>
      <c r="D122">
        <v>18</v>
      </c>
      <c r="E122" t="str">
        <f t="shared" si="3"/>
        <v>Teenager</v>
      </c>
      <c r="F122" t="s">
        <v>1158</v>
      </c>
      <c r="G122" t="s">
        <v>1171</v>
      </c>
      <c r="H122" t="s">
        <v>1184</v>
      </c>
      <c r="I122" t="s">
        <v>1187</v>
      </c>
      <c r="J122" t="s">
        <v>1196</v>
      </c>
      <c r="K122" s="2">
        <v>45934</v>
      </c>
      <c r="L122" s="2" t="str">
        <f t="shared" si="2"/>
        <v>October</v>
      </c>
      <c r="M122">
        <v>5</v>
      </c>
      <c r="N122">
        <v>275000</v>
      </c>
    </row>
    <row r="123" spans="1:14" x14ac:dyDescent="0.3">
      <c r="A123" t="s">
        <v>133</v>
      </c>
      <c r="B123" t="s">
        <v>633</v>
      </c>
      <c r="C123" t="s">
        <v>1047</v>
      </c>
      <c r="D123">
        <v>29</v>
      </c>
      <c r="E123" t="str">
        <f t="shared" si="3"/>
        <v>Teenager</v>
      </c>
      <c r="F123" t="s">
        <v>1159</v>
      </c>
      <c r="G123" t="s">
        <v>1162</v>
      </c>
      <c r="H123" t="s">
        <v>1181</v>
      </c>
      <c r="I123" t="s">
        <v>1187</v>
      </c>
      <c r="J123" t="s">
        <v>1195</v>
      </c>
      <c r="K123" s="2">
        <v>45607</v>
      </c>
      <c r="L123" s="2" t="str">
        <f t="shared" si="2"/>
        <v>November</v>
      </c>
      <c r="M123">
        <v>3</v>
      </c>
      <c r="N123">
        <v>165000</v>
      </c>
    </row>
    <row r="124" spans="1:14" x14ac:dyDescent="0.3">
      <c r="A124" t="s">
        <v>134</v>
      </c>
      <c r="B124" t="s">
        <v>634</v>
      </c>
      <c r="C124" t="s">
        <v>1097</v>
      </c>
      <c r="D124">
        <v>31</v>
      </c>
      <c r="E124" t="str">
        <f t="shared" si="3"/>
        <v>Adult</v>
      </c>
      <c r="F124" t="s">
        <v>1158</v>
      </c>
      <c r="G124" t="s">
        <v>1171</v>
      </c>
      <c r="H124" t="s">
        <v>1184</v>
      </c>
      <c r="I124" t="s">
        <v>1191</v>
      </c>
      <c r="J124" t="s">
        <v>1192</v>
      </c>
      <c r="K124" s="2">
        <v>45778</v>
      </c>
      <c r="L124" s="2" t="str">
        <f t="shared" si="2"/>
        <v>May</v>
      </c>
      <c r="M124">
        <v>5</v>
      </c>
      <c r="N124">
        <v>30000</v>
      </c>
    </row>
    <row r="125" spans="1:14" x14ac:dyDescent="0.3">
      <c r="A125" t="s">
        <v>135</v>
      </c>
      <c r="B125" t="s">
        <v>635</v>
      </c>
      <c r="C125" t="s">
        <v>1053</v>
      </c>
      <c r="D125">
        <v>20</v>
      </c>
      <c r="E125" t="str">
        <f t="shared" si="3"/>
        <v>Teenager</v>
      </c>
      <c r="F125" t="s">
        <v>1159</v>
      </c>
      <c r="G125" t="s">
        <v>1172</v>
      </c>
      <c r="H125" t="s">
        <v>1185</v>
      </c>
      <c r="I125" t="s">
        <v>1190</v>
      </c>
      <c r="J125" t="s">
        <v>1196</v>
      </c>
      <c r="K125" s="2">
        <v>45837</v>
      </c>
      <c r="L125" s="2" t="str">
        <f t="shared" si="2"/>
        <v>June</v>
      </c>
      <c r="M125">
        <v>3</v>
      </c>
      <c r="N125">
        <v>45000</v>
      </c>
    </row>
    <row r="126" spans="1:14" x14ac:dyDescent="0.3">
      <c r="A126" t="s">
        <v>136</v>
      </c>
      <c r="B126" t="s">
        <v>636</v>
      </c>
      <c r="C126" t="s">
        <v>1064</v>
      </c>
      <c r="D126">
        <v>46</v>
      </c>
      <c r="E126" t="str">
        <f t="shared" si="3"/>
        <v>Adult</v>
      </c>
      <c r="F126" t="s">
        <v>1159</v>
      </c>
      <c r="G126" t="s">
        <v>1165</v>
      </c>
      <c r="H126" t="s">
        <v>1179</v>
      </c>
      <c r="I126" t="s">
        <v>1190</v>
      </c>
      <c r="J126" t="s">
        <v>1194</v>
      </c>
      <c r="K126" s="2">
        <v>45716</v>
      </c>
      <c r="L126" s="2" t="str">
        <f t="shared" si="2"/>
        <v>February</v>
      </c>
      <c r="M126">
        <v>2</v>
      </c>
      <c r="N126">
        <v>30000</v>
      </c>
    </row>
    <row r="127" spans="1:14" x14ac:dyDescent="0.3">
      <c r="A127" t="s">
        <v>137</v>
      </c>
      <c r="B127" t="s">
        <v>637</v>
      </c>
      <c r="C127" t="s">
        <v>1098</v>
      </c>
      <c r="D127">
        <v>57</v>
      </c>
      <c r="E127" t="str">
        <f t="shared" si="3"/>
        <v>Senior</v>
      </c>
      <c r="F127" t="s">
        <v>1159</v>
      </c>
      <c r="G127" t="s">
        <v>1160</v>
      </c>
      <c r="H127" t="s">
        <v>1179</v>
      </c>
      <c r="I127" t="s">
        <v>1190</v>
      </c>
      <c r="J127" t="s">
        <v>1192</v>
      </c>
      <c r="K127" s="2">
        <v>45614</v>
      </c>
      <c r="L127" s="2" t="str">
        <f t="shared" si="2"/>
        <v>November</v>
      </c>
      <c r="M127">
        <v>5</v>
      </c>
      <c r="N127">
        <v>75000</v>
      </c>
    </row>
    <row r="128" spans="1:14" x14ac:dyDescent="0.3">
      <c r="A128" t="s">
        <v>138</v>
      </c>
      <c r="B128" t="s">
        <v>638</v>
      </c>
      <c r="C128" t="s">
        <v>1032</v>
      </c>
      <c r="D128">
        <v>44</v>
      </c>
      <c r="E128" t="str">
        <f t="shared" si="3"/>
        <v>Adult</v>
      </c>
      <c r="F128" t="s">
        <v>1159</v>
      </c>
      <c r="G128" t="s">
        <v>1174</v>
      </c>
      <c r="H128" t="s">
        <v>1180</v>
      </c>
      <c r="I128" t="s">
        <v>1187</v>
      </c>
      <c r="J128" t="s">
        <v>1196</v>
      </c>
      <c r="K128" s="2">
        <v>45796</v>
      </c>
      <c r="L128" s="2" t="str">
        <f t="shared" si="2"/>
        <v>May</v>
      </c>
      <c r="M128">
        <v>1</v>
      </c>
      <c r="N128">
        <v>55000</v>
      </c>
    </row>
    <row r="129" spans="1:14" x14ac:dyDescent="0.3">
      <c r="A129" t="s">
        <v>139</v>
      </c>
      <c r="B129" t="s">
        <v>639</v>
      </c>
      <c r="C129" t="s">
        <v>1048</v>
      </c>
      <c r="D129">
        <v>30</v>
      </c>
      <c r="E129" t="str">
        <f t="shared" si="3"/>
        <v>Adult</v>
      </c>
      <c r="F129" t="s">
        <v>1158</v>
      </c>
      <c r="G129" t="s">
        <v>1171</v>
      </c>
      <c r="H129" t="s">
        <v>1184</v>
      </c>
      <c r="I129" t="s">
        <v>1190</v>
      </c>
      <c r="J129" t="s">
        <v>1194</v>
      </c>
      <c r="K129" s="2">
        <v>45842</v>
      </c>
      <c r="L129" s="2" t="str">
        <f t="shared" si="2"/>
        <v>July</v>
      </c>
      <c r="M129">
        <v>5</v>
      </c>
      <c r="N129">
        <v>75000</v>
      </c>
    </row>
    <row r="130" spans="1:14" x14ac:dyDescent="0.3">
      <c r="A130" t="s">
        <v>140</v>
      </c>
      <c r="B130" t="s">
        <v>640</v>
      </c>
      <c r="C130" t="s">
        <v>1099</v>
      </c>
      <c r="D130">
        <v>27</v>
      </c>
      <c r="E130" t="str">
        <f t="shared" si="3"/>
        <v>Teenager</v>
      </c>
      <c r="F130" t="s">
        <v>1158</v>
      </c>
      <c r="G130" t="s">
        <v>1177</v>
      </c>
      <c r="H130" t="s">
        <v>1184</v>
      </c>
      <c r="I130" t="s">
        <v>1186</v>
      </c>
      <c r="J130" t="s">
        <v>1192</v>
      </c>
      <c r="K130" s="2">
        <v>45863</v>
      </c>
      <c r="L130" s="2" t="str">
        <f t="shared" si="2"/>
        <v>July</v>
      </c>
      <c r="M130">
        <v>5</v>
      </c>
      <c r="N130">
        <v>12500</v>
      </c>
    </row>
    <row r="131" spans="1:14" x14ac:dyDescent="0.3">
      <c r="A131" t="s">
        <v>141</v>
      </c>
      <c r="B131" t="s">
        <v>641</v>
      </c>
      <c r="C131" t="s">
        <v>1071</v>
      </c>
      <c r="D131">
        <v>60</v>
      </c>
      <c r="E131" t="str">
        <f t="shared" si="3"/>
        <v>Senior</v>
      </c>
      <c r="F131" t="s">
        <v>1159</v>
      </c>
      <c r="G131" t="s">
        <v>1172</v>
      </c>
      <c r="H131" t="s">
        <v>1185</v>
      </c>
      <c r="I131" t="s">
        <v>1188</v>
      </c>
      <c r="J131" t="s">
        <v>1196</v>
      </c>
      <c r="K131" s="2">
        <v>45888</v>
      </c>
      <c r="L131" s="2" t="str">
        <f t="shared" ref="L131:L194" si="4">TEXT(K131,"mmmm")</f>
        <v>August</v>
      </c>
      <c r="M131">
        <v>2</v>
      </c>
      <c r="N131">
        <v>60000</v>
      </c>
    </row>
    <row r="132" spans="1:14" x14ac:dyDescent="0.3">
      <c r="A132" t="s">
        <v>142</v>
      </c>
      <c r="B132" t="s">
        <v>642</v>
      </c>
      <c r="C132" t="s">
        <v>1023</v>
      </c>
      <c r="D132">
        <v>34</v>
      </c>
      <c r="E132" t="str">
        <f t="shared" ref="E132:E195" si="5">IF(D132&gt;=50,"Senior", IF(D132&gt;=30,"Adult", "Teenager"))</f>
        <v>Adult</v>
      </c>
      <c r="F132" t="s">
        <v>1159</v>
      </c>
      <c r="G132" t="s">
        <v>1178</v>
      </c>
      <c r="H132" t="s">
        <v>1180</v>
      </c>
      <c r="I132" t="s">
        <v>1191</v>
      </c>
      <c r="J132" t="s">
        <v>1194</v>
      </c>
      <c r="K132" s="2">
        <v>45786</v>
      </c>
      <c r="L132" s="2" t="str">
        <f t="shared" si="4"/>
        <v>May</v>
      </c>
      <c r="M132">
        <v>3</v>
      </c>
      <c r="N132">
        <v>18000</v>
      </c>
    </row>
    <row r="133" spans="1:14" x14ac:dyDescent="0.3">
      <c r="A133" t="s">
        <v>143</v>
      </c>
      <c r="B133" t="s">
        <v>643</v>
      </c>
      <c r="C133" t="s">
        <v>1100</v>
      </c>
      <c r="D133">
        <v>21</v>
      </c>
      <c r="E133" t="str">
        <f t="shared" si="5"/>
        <v>Teenager</v>
      </c>
      <c r="F133" t="s">
        <v>1159</v>
      </c>
      <c r="G133" t="s">
        <v>1172</v>
      </c>
      <c r="H133" t="s">
        <v>1185</v>
      </c>
      <c r="I133" t="s">
        <v>1187</v>
      </c>
      <c r="J133" t="s">
        <v>1195</v>
      </c>
      <c r="K133" s="2">
        <v>45906</v>
      </c>
      <c r="L133" s="2" t="str">
        <f t="shared" si="4"/>
        <v>September</v>
      </c>
      <c r="M133">
        <v>2</v>
      </c>
      <c r="N133">
        <v>110000</v>
      </c>
    </row>
    <row r="134" spans="1:14" x14ac:dyDescent="0.3">
      <c r="A134" t="s">
        <v>144</v>
      </c>
      <c r="B134" t="s">
        <v>644</v>
      </c>
      <c r="C134" t="s">
        <v>1085</v>
      </c>
      <c r="D134">
        <v>58</v>
      </c>
      <c r="E134" t="str">
        <f t="shared" si="5"/>
        <v>Senior</v>
      </c>
      <c r="F134" t="s">
        <v>1158</v>
      </c>
      <c r="G134" t="s">
        <v>1160</v>
      </c>
      <c r="H134" t="s">
        <v>1179</v>
      </c>
      <c r="I134" t="s">
        <v>1186</v>
      </c>
      <c r="J134" t="s">
        <v>1196</v>
      </c>
      <c r="K134" s="2">
        <v>45797</v>
      </c>
      <c r="L134" s="2" t="str">
        <f t="shared" si="4"/>
        <v>May</v>
      </c>
      <c r="M134">
        <v>1</v>
      </c>
      <c r="N134">
        <v>2500</v>
      </c>
    </row>
    <row r="135" spans="1:14" x14ac:dyDescent="0.3">
      <c r="A135" t="s">
        <v>145</v>
      </c>
      <c r="B135" t="s">
        <v>645</v>
      </c>
      <c r="C135" t="s">
        <v>1084</v>
      </c>
      <c r="D135">
        <v>51</v>
      </c>
      <c r="E135" t="str">
        <f t="shared" si="5"/>
        <v>Senior</v>
      </c>
      <c r="F135" t="s">
        <v>1158</v>
      </c>
      <c r="G135" t="s">
        <v>1176</v>
      </c>
      <c r="H135" t="s">
        <v>1179</v>
      </c>
      <c r="I135" t="s">
        <v>1190</v>
      </c>
      <c r="J135" t="s">
        <v>1192</v>
      </c>
      <c r="K135" s="2">
        <v>45733</v>
      </c>
      <c r="L135" s="2" t="str">
        <f t="shared" si="4"/>
        <v>March</v>
      </c>
      <c r="M135">
        <v>4</v>
      </c>
      <c r="N135">
        <v>60000</v>
      </c>
    </row>
    <row r="136" spans="1:14" x14ac:dyDescent="0.3">
      <c r="A136" t="s">
        <v>146</v>
      </c>
      <c r="B136" t="s">
        <v>646</v>
      </c>
      <c r="C136" t="s">
        <v>1101</v>
      </c>
      <c r="D136">
        <v>62</v>
      </c>
      <c r="E136" t="str">
        <f t="shared" si="5"/>
        <v>Senior</v>
      </c>
      <c r="F136" t="s">
        <v>1159</v>
      </c>
      <c r="G136" t="s">
        <v>1178</v>
      </c>
      <c r="H136" t="s">
        <v>1180</v>
      </c>
      <c r="I136" t="s">
        <v>1191</v>
      </c>
      <c r="J136" t="s">
        <v>1194</v>
      </c>
      <c r="K136" s="2">
        <v>45950</v>
      </c>
      <c r="L136" s="2" t="str">
        <f t="shared" si="4"/>
        <v>October</v>
      </c>
      <c r="M136">
        <v>2</v>
      </c>
      <c r="N136">
        <v>12000</v>
      </c>
    </row>
    <row r="137" spans="1:14" x14ac:dyDescent="0.3">
      <c r="A137" t="s">
        <v>147</v>
      </c>
      <c r="B137" t="s">
        <v>647</v>
      </c>
      <c r="C137" t="s">
        <v>1058</v>
      </c>
      <c r="D137">
        <v>22</v>
      </c>
      <c r="E137" t="str">
        <f t="shared" si="5"/>
        <v>Teenager</v>
      </c>
      <c r="F137" t="s">
        <v>1158</v>
      </c>
      <c r="G137" t="s">
        <v>1168</v>
      </c>
      <c r="H137" t="s">
        <v>1185</v>
      </c>
      <c r="I137" t="s">
        <v>1191</v>
      </c>
      <c r="J137" t="s">
        <v>1195</v>
      </c>
      <c r="K137" s="2">
        <v>45642</v>
      </c>
      <c r="L137" s="2" t="str">
        <f t="shared" si="4"/>
        <v>December</v>
      </c>
      <c r="M137">
        <v>3</v>
      </c>
      <c r="N137">
        <v>18000</v>
      </c>
    </row>
    <row r="138" spans="1:14" x14ac:dyDescent="0.3">
      <c r="A138" t="s">
        <v>148</v>
      </c>
      <c r="B138" t="s">
        <v>648</v>
      </c>
      <c r="C138" t="s">
        <v>1084</v>
      </c>
      <c r="D138">
        <v>21</v>
      </c>
      <c r="E138" t="str">
        <f t="shared" si="5"/>
        <v>Teenager</v>
      </c>
      <c r="F138" t="s">
        <v>1159</v>
      </c>
      <c r="G138" t="s">
        <v>1164</v>
      </c>
      <c r="H138" t="s">
        <v>1183</v>
      </c>
      <c r="I138" t="s">
        <v>1188</v>
      </c>
      <c r="J138" t="s">
        <v>1195</v>
      </c>
      <c r="K138" s="2">
        <v>45691</v>
      </c>
      <c r="L138" s="2" t="str">
        <f t="shared" si="4"/>
        <v>February</v>
      </c>
      <c r="M138">
        <v>3</v>
      </c>
      <c r="N138">
        <v>90000</v>
      </c>
    </row>
    <row r="139" spans="1:14" x14ac:dyDescent="0.3">
      <c r="A139" t="s">
        <v>149</v>
      </c>
      <c r="B139" t="s">
        <v>649</v>
      </c>
      <c r="C139" t="s">
        <v>1102</v>
      </c>
      <c r="D139">
        <v>30</v>
      </c>
      <c r="E139" t="str">
        <f t="shared" si="5"/>
        <v>Adult</v>
      </c>
      <c r="F139" t="s">
        <v>1158</v>
      </c>
      <c r="G139" t="s">
        <v>1161</v>
      </c>
      <c r="H139" t="s">
        <v>1180</v>
      </c>
      <c r="I139" t="s">
        <v>1188</v>
      </c>
      <c r="J139" t="s">
        <v>1193</v>
      </c>
      <c r="K139" s="2">
        <v>45757</v>
      </c>
      <c r="L139" s="2" t="str">
        <f t="shared" si="4"/>
        <v>April</v>
      </c>
      <c r="M139">
        <v>5</v>
      </c>
      <c r="N139">
        <v>150000</v>
      </c>
    </row>
    <row r="140" spans="1:14" x14ac:dyDescent="0.3">
      <c r="A140" t="s">
        <v>150</v>
      </c>
      <c r="B140" t="s">
        <v>650</v>
      </c>
      <c r="C140" t="s">
        <v>1103</v>
      </c>
      <c r="D140">
        <v>63</v>
      </c>
      <c r="E140" t="str">
        <f t="shared" si="5"/>
        <v>Senior</v>
      </c>
      <c r="F140" t="s">
        <v>1158</v>
      </c>
      <c r="G140" t="s">
        <v>1168</v>
      </c>
      <c r="H140" t="s">
        <v>1185</v>
      </c>
      <c r="I140" t="s">
        <v>1190</v>
      </c>
      <c r="J140" t="s">
        <v>1195</v>
      </c>
      <c r="K140" s="2">
        <v>45600</v>
      </c>
      <c r="L140" s="2" t="str">
        <f t="shared" si="4"/>
        <v>November</v>
      </c>
      <c r="M140">
        <v>1</v>
      </c>
      <c r="N140">
        <v>15000</v>
      </c>
    </row>
    <row r="141" spans="1:14" x14ac:dyDescent="0.3">
      <c r="A141" t="s">
        <v>151</v>
      </c>
      <c r="B141" t="s">
        <v>651</v>
      </c>
      <c r="C141" t="s">
        <v>1104</v>
      </c>
      <c r="D141">
        <v>19</v>
      </c>
      <c r="E141" t="str">
        <f t="shared" si="5"/>
        <v>Teenager</v>
      </c>
      <c r="F141" t="s">
        <v>1158</v>
      </c>
      <c r="G141" t="s">
        <v>1162</v>
      </c>
      <c r="H141" t="s">
        <v>1181</v>
      </c>
      <c r="I141" t="s">
        <v>1187</v>
      </c>
      <c r="J141" t="s">
        <v>1192</v>
      </c>
      <c r="K141" s="2">
        <v>45680</v>
      </c>
      <c r="L141" s="2" t="str">
        <f t="shared" si="4"/>
        <v>January</v>
      </c>
      <c r="M141">
        <v>3</v>
      </c>
      <c r="N141">
        <v>165000</v>
      </c>
    </row>
    <row r="142" spans="1:14" x14ac:dyDescent="0.3">
      <c r="A142" t="s">
        <v>152</v>
      </c>
      <c r="B142" t="s">
        <v>652</v>
      </c>
      <c r="C142" t="s">
        <v>1021</v>
      </c>
      <c r="D142">
        <v>42</v>
      </c>
      <c r="E142" t="str">
        <f t="shared" si="5"/>
        <v>Adult</v>
      </c>
      <c r="F142" t="s">
        <v>1159</v>
      </c>
      <c r="G142" t="s">
        <v>1173</v>
      </c>
      <c r="H142" t="s">
        <v>1185</v>
      </c>
      <c r="I142" t="s">
        <v>1191</v>
      </c>
      <c r="J142" t="s">
        <v>1193</v>
      </c>
      <c r="K142" s="2">
        <v>45915</v>
      </c>
      <c r="L142" s="2" t="str">
        <f t="shared" si="4"/>
        <v>September</v>
      </c>
      <c r="M142">
        <v>1</v>
      </c>
      <c r="N142">
        <v>6000</v>
      </c>
    </row>
    <row r="143" spans="1:14" x14ac:dyDescent="0.3">
      <c r="A143" t="s">
        <v>153</v>
      </c>
      <c r="B143" t="s">
        <v>653</v>
      </c>
      <c r="C143" t="s">
        <v>1021</v>
      </c>
      <c r="D143">
        <v>47</v>
      </c>
      <c r="E143" t="str">
        <f t="shared" si="5"/>
        <v>Adult</v>
      </c>
      <c r="F143" t="s">
        <v>1159</v>
      </c>
      <c r="G143" t="s">
        <v>1165</v>
      </c>
      <c r="H143" t="s">
        <v>1179</v>
      </c>
      <c r="I143" t="s">
        <v>1190</v>
      </c>
      <c r="J143" t="s">
        <v>1195</v>
      </c>
      <c r="K143" s="2">
        <v>45870</v>
      </c>
      <c r="L143" s="2" t="str">
        <f t="shared" si="4"/>
        <v>August</v>
      </c>
      <c r="M143">
        <v>5</v>
      </c>
      <c r="N143">
        <v>75000</v>
      </c>
    </row>
    <row r="144" spans="1:14" x14ac:dyDescent="0.3">
      <c r="A144" t="s">
        <v>154</v>
      </c>
      <c r="B144" t="s">
        <v>654</v>
      </c>
      <c r="C144" t="s">
        <v>1105</v>
      </c>
      <c r="D144">
        <v>29</v>
      </c>
      <c r="E144" t="str">
        <f t="shared" si="5"/>
        <v>Teenager</v>
      </c>
      <c r="F144" t="s">
        <v>1159</v>
      </c>
      <c r="G144" t="s">
        <v>1178</v>
      </c>
      <c r="H144" t="s">
        <v>1180</v>
      </c>
      <c r="I144" t="s">
        <v>1188</v>
      </c>
      <c r="J144" t="s">
        <v>1195</v>
      </c>
      <c r="K144" s="2">
        <v>45702</v>
      </c>
      <c r="L144" s="2" t="str">
        <f t="shared" si="4"/>
        <v>February</v>
      </c>
      <c r="M144">
        <v>2</v>
      </c>
      <c r="N144">
        <v>60000</v>
      </c>
    </row>
    <row r="145" spans="1:14" x14ac:dyDescent="0.3">
      <c r="A145" t="s">
        <v>155</v>
      </c>
      <c r="B145" t="s">
        <v>655</v>
      </c>
      <c r="C145" t="s">
        <v>1038</v>
      </c>
      <c r="D145">
        <v>61</v>
      </c>
      <c r="E145" t="str">
        <f t="shared" si="5"/>
        <v>Senior</v>
      </c>
      <c r="F145" t="s">
        <v>1159</v>
      </c>
      <c r="G145" t="s">
        <v>1162</v>
      </c>
      <c r="H145" t="s">
        <v>1181</v>
      </c>
      <c r="I145" t="s">
        <v>1189</v>
      </c>
      <c r="J145" t="s">
        <v>1192</v>
      </c>
      <c r="K145" s="2">
        <v>45599</v>
      </c>
      <c r="L145" s="2" t="str">
        <f t="shared" si="4"/>
        <v>November</v>
      </c>
      <c r="M145">
        <v>4</v>
      </c>
      <c r="N145">
        <v>8000</v>
      </c>
    </row>
    <row r="146" spans="1:14" x14ac:dyDescent="0.3">
      <c r="A146" t="s">
        <v>156</v>
      </c>
      <c r="B146" t="s">
        <v>656</v>
      </c>
      <c r="C146" t="s">
        <v>1021</v>
      </c>
      <c r="D146">
        <v>51</v>
      </c>
      <c r="E146" t="str">
        <f t="shared" si="5"/>
        <v>Senior</v>
      </c>
      <c r="F146" t="s">
        <v>1158</v>
      </c>
      <c r="G146" t="s">
        <v>1164</v>
      </c>
      <c r="H146" t="s">
        <v>1183</v>
      </c>
      <c r="I146" t="s">
        <v>1189</v>
      </c>
      <c r="J146" t="s">
        <v>1195</v>
      </c>
      <c r="K146" s="2">
        <v>45724</v>
      </c>
      <c r="L146" s="2" t="str">
        <f t="shared" si="4"/>
        <v>March</v>
      </c>
      <c r="M146">
        <v>2</v>
      </c>
      <c r="N146">
        <v>4000</v>
      </c>
    </row>
    <row r="147" spans="1:14" x14ac:dyDescent="0.3">
      <c r="A147" t="s">
        <v>157</v>
      </c>
      <c r="B147" t="s">
        <v>657</v>
      </c>
      <c r="C147" t="s">
        <v>1106</v>
      </c>
      <c r="D147">
        <v>58</v>
      </c>
      <c r="E147" t="str">
        <f t="shared" si="5"/>
        <v>Senior</v>
      </c>
      <c r="F147" t="s">
        <v>1159</v>
      </c>
      <c r="G147" t="s">
        <v>1162</v>
      </c>
      <c r="H147" t="s">
        <v>1181</v>
      </c>
      <c r="I147" t="s">
        <v>1188</v>
      </c>
      <c r="J147" t="s">
        <v>1192</v>
      </c>
      <c r="K147" s="2">
        <v>45890</v>
      </c>
      <c r="L147" s="2" t="str">
        <f t="shared" si="4"/>
        <v>August</v>
      </c>
      <c r="M147">
        <v>5</v>
      </c>
      <c r="N147">
        <v>150000</v>
      </c>
    </row>
    <row r="148" spans="1:14" x14ac:dyDescent="0.3">
      <c r="A148" t="s">
        <v>158</v>
      </c>
      <c r="B148" t="s">
        <v>658</v>
      </c>
      <c r="C148" t="s">
        <v>1050</v>
      </c>
      <c r="D148">
        <v>19</v>
      </c>
      <c r="E148" t="str">
        <f t="shared" si="5"/>
        <v>Teenager</v>
      </c>
      <c r="F148" t="s">
        <v>1158</v>
      </c>
      <c r="G148" t="s">
        <v>1174</v>
      </c>
      <c r="H148" t="s">
        <v>1180</v>
      </c>
      <c r="I148" t="s">
        <v>1191</v>
      </c>
      <c r="J148" t="s">
        <v>1194</v>
      </c>
      <c r="K148" s="2">
        <v>45807</v>
      </c>
      <c r="L148" s="2" t="str">
        <f t="shared" si="4"/>
        <v>May</v>
      </c>
      <c r="M148">
        <v>3</v>
      </c>
      <c r="N148">
        <v>18000</v>
      </c>
    </row>
    <row r="149" spans="1:14" x14ac:dyDescent="0.3">
      <c r="A149" t="s">
        <v>159</v>
      </c>
      <c r="B149" t="s">
        <v>659</v>
      </c>
      <c r="C149" t="s">
        <v>1107</v>
      </c>
      <c r="D149">
        <v>28</v>
      </c>
      <c r="E149" t="str">
        <f t="shared" si="5"/>
        <v>Teenager</v>
      </c>
      <c r="F149" t="s">
        <v>1158</v>
      </c>
      <c r="G149" t="s">
        <v>1174</v>
      </c>
      <c r="H149" t="s">
        <v>1180</v>
      </c>
      <c r="I149" t="s">
        <v>1191</v>
      </c>
      <c r="J149" t="s">
        <v>1193</v>
      </c>
      <c r="K149" s="2">
        <v>45796</v>
      </c>
      <c r="L149" s="2" t="str">
        <f t="shared" si="4"/>
        <v>May</v>
      </c>
      <c r="M149">
        <v>1</v>
      </c>
      <c r="N149">
        <v>6000</v>
      </c>
    </row>
    <row r="150" spans="1:14" x14ac:dyDescent="0.3">
      <c r="A150" t="s">
        <v>160</v>
      </c>
      <c r="B150" t="s">
        <v>660</v>
      </c>
      <c r="C150" t="s">
        <v>1058</v>
      </c>
      <c r="D150">
        <v>27</v>
      </c>
      <c r="E150" t="str">
        <f t="shared" si="5"/>
        <v>Teenager</v>
      </c>
      <c r="F150" t="s">
        <v>1159</v>
      </c>
      <c r="G150" t="s">
        <v>1169</v>
      </c>
      <c r="H150" t="s">
        <v>1182</v>
      </c>
      <c r="I150" t="s">
        <v>1189</v>
      </c>
      <c r="J150" t="s">
        <v>1196</v>
      </c>
      <c r="K150" s="2">
        <v>45622</v>
      </c>
      <c r="L150" s="2" t="str">
        <f t="shared" si="4"/>
        <v>November</v>
      </c>
      <c r="M150">
        <v>4</v>
      </c>
      <c r="N150">
        <v>8000</v>
      </c>
    </row>
    <row r="151" spans="1:14" x14ac:dyDescent="0.3">
      <c r="A151" t="s">
        <v>161</v>
      </c>
      <c r="B151" t="s">
        <v>661</v>
      </c>
      <c r="C151" t="s">
        <v>1108</v>
      </c>
      <c r="D151">
        <v>51</v>
      </c>
      <c r="E151" t="str">
        <f t="shared" si="5"/>
        <v>Senior</v>
      </c>
      <c r="F151" t="s">
        <v>1158</v>
      </c>
      <c r="G151" t="s">
        <v>1162</v>
      </c>
      <c r="H151" t="s">
        <v>1181</v>
      </c>
      <c r="I151" t="s">
        <v>1186</v>
      </c>
      <c r="J151" t="s">
        <v>1196</v>
      </c>
      <c r="K151" s="2">
        <v>45879</v>
      </c>
      <c r="L151" s="2" t="str">
        <f t="shared" si="4"/>
        <v>August</v>
      </c>
      <c r="M151">
        <v>4</v>
      </c>
      <c r="N151">
        <v>10000</v>
      </c>
    </row>
    <row r="152" spans="1:14" x14ac:dyDescent="0.3">
      <c r="A152" t="s">
        <v>162</v>
      </c>
      <c r="B152" t="s">
        <v>662</v>
      </c>
      <c r="C152" t="s">
        <v>1033</v>
      </c>
      <c r="D152">
        <v>43</v>
      </c>
      <c r="E152" t="str">
        <f t="shared" si="5"/>
        <v>Adult</v>
      </c>
      <c r="F152" t="s">
        <v>1159</v>
      </c>
      <c r="G152" t="s">
        <v>1162</v>
      </c>
      <c r="H152" t="s">
        <v>1181</v>
      </c>
      <c r="I152" t="s">
        <v>1187</v>
      </c>
      <c r="J152" t="s">
        <v>1193</v>
      </c>
      <c r="K152" s="2">
        <v>45841</v>
      </c>
      <c r="L152" s="2" t="str">
        <f t="shared" si="4"/>
        <v>July</v>
      </c>
      <c r="M152">
        <v>3</v>
      </c>
      <c r="N152">
        <v>165000</v>
      </c>
    </row>
    <row r="153" spans="1:14" x14ac:dyDescent="0.3">
      <c r="A153" t="s">
        <v>163</v>
      </c>
      <c r="B153" t="s">
        <v>663</v>
      </c>
      <c r="C153" t="s">
        <v>1050</v>
      </c>
      <c r="D153">
        <v>32</v>
      </c>
      <c r="E153" t="str">
        <f t="shared" si="5"/>
        <v>Adult</v>
      </c>
      <c r="F153" t="s">
        <v>1159</v>
      </c>
      <c r="G153" t="s">
        <v>1177</v>
      </c>
      <c r="H153" t="s">
        <v>1184</v>
      </c>
      <c r="I153" t="s">
        <v>1189</v>
      </c>
      <c r="J153" t="s">
        <v>1196</v>
      </c>
      <c r="K153" s="2">
        <v>45745</v>
      </c>
      <c r="L153" s="2" t="str">
        <f t="shared" si="4"/>
        <v>March</v>
      </c>
      <c r="M153">
        <v>4</v>
      </c>
      <c r="N153">
        <v>8000</v>
      </c>
    </row>
    <row r="154" spans="1:14" x14ac:dyDescent="0.3">
      <c r="A154" t="s">
        <v>164</v>
      </c>
      <c r="B154" t="s">
        <v>664</v>
      </c>
      <c r="C154" t="s">
        <v>1027</v>
      </c>
      <c r="D154">
        <v>64</v>
      </c>
      <c r="E154" t="str">
        <f t="shared" si="5"/>
        <v>Senior</v>
      </c>
      <c r="F154" t="s">
        <v>1159</v>
      </c>
      <c r="G154" t="s">
        <v>1160</v>
      </c>
      <c r="H154" t="s">
        <v>1179</v>
      </c>
      <c r="I154" t="s">
        <v>1187</v>
      </c>
      <c r="J154" t="s">
        <v>1193</v>
      </c>
      <c r="K154" s="2">
        <v>45772</v>
      </c>
      <c r="L154" s="2" t="str">
        <f t="shared" si="4"/>
        <v>April</v>
      </c>
      <c r="M154">
        <v>2</v>
      </c>
      <c r="N154">
        <v>110000</v>
      </c>
    </row>
    <row r="155" spans="1:14" x14ac:dyDescent="0.3">
      <c r="A155" t="s">
        <v>165</v>
      </c>
      <c r="B155" t="s">
        <v>665</v>
      </c>
      <c r="C155" t="s">
        <v>1109</v>
      </c>
      <c r="D155">
        <v>48</v>
      </c>
      <c r="E155" t="str">
        <f t="shared" si="5"/>
        <v>Adult</v>
      </c>
      <c r="F155" t="s">
        <v>1158</v>
      </c>
      <c r="G155" t="s">
        <v>1174</v>
      </c>
      <c r="H155" t="s">
        <v>1180</v>
      </c>
      <c r="I155" t="s">
        <v>1187</v>
      </c>
      <c r="J155" t="s">
        <v>1195</v>
      </c>
      <c r="K155" s="2">
        <v>45723</v>
      </c>
      <c r="L155" s="2" t="str">
        <f t="shared" si="4"/>
        <v>March</v>
      </c>
      <c r="M155">
        <v>1</v>
      </c>
      <c r="N155">
        <v>55000</v>
      </c>
    </row>
    <row r="156" spans="1:14" x14ac:dyDescent="0.3">
      <c r="A156" t="s">
        <v>166</v>
      </c>
      <c r="B156" t="s">
        <v>666</v>
      </c>
      <c r="C156" t="s">
        <v>1110</v>
      </c>
      <c r="D156">
        <v>29</v>
      </c>
      <c r="E156" t="str">
        <f t="shared" si="5"/>
        <v>Teenager</v>
      </c>
      <c r="F156" t="s">
        <v>1159</v>
      </c>
      <c r="G156" t="s">
        <v>1170</v>
      </c>
      <c r="H156" t="s">
        <v>1183</v>
      </c>
      <c r="I156" t="s">
        <v>1190</v>
      </c>
      <c r="J156" t="s">
        <v>1194</v>
      </c>
      <c r="K156" s="2">
        <v>45918</v>
      </c>
      <c r="L156" s="2" t="str">
        <f t="shared" si="4"/>
        <v>September</v>
      </c>
      <c r="M156">
        <v>5</v>
      </c>
      <c r="N156">
        <v>75000</v>
      </c>
    </row>
    <row r="157" spans="1:14" x14ac:dyDescent="0.3">
      <c r="A157" t="s">
        <v>167</v>
      </c>
      <c r="B157" t="s">
        <v>667</v>
      </c>
      <c r="C157" t="s">
        <v>1036</v>
      </c>
      <c r="D157">
        <v>30</v>
      </c>
      <c r="E157" t="str">
        <f t="shared" si="5"/>
        <v>Adult</v>
      </c>
      <c r="F157" t="s">
        <v>1159</v>
      </c>
      <c r="G157" t="s">
        <v>1166</v>
      </c>
      <c r="H157" t="s">
        <v>1184</v>
      </c>
      <c r="I157" t="s">
        <v>1191</v>
      </c>
      <c r="J157" t="s">
        <v>1195</v>
      </c>
      <c r="K157" s="2">
        <v>45912</v>
      </c>
      <c r="L157" s="2" t="str">
        <f t="shared" si="4"/>
        <v>September</v>
      </c>
      <c r="M157">
        <v>3</v>
      </c>
      <c r="N157">
        <v>18000</v>
      </c>
    </row>
    <row r="158" spans="1:14" x14ac:dyDescent="0.3">
      <c r="A158" t="s">
        <v>168</v>
      </c>
      <c r="B158" t="s">
        <v>668</v>
      </c>
      <c r="C158" t="s">
        <v>1044</v>
      </c>
      <c r="D158">
        <v>61</v>
      </c>
      <c r="E158" t="str">
        <f t="shared" si="5"/>
        <v>Senior</v>
      </c>
      <c r="F158" t="s">
        <v>1159</v>
      </c>
      <c r="G158" t="s">
        <v>1162</v>
      </c>
      <c r="H158" t="s">
        <v>1181</v>
      </c>
      <c r="I158" t="s">
        <v>1188</v>
      </c>
      <c r="J158" t="s">
        <v>1196</v>
      </c>
      <c r="K158" s="2">
        <v>45716</v>
      </c>
      <c r="L158" s="2" t="str">
        <f t="shared" si="4"/>
        <v>February</v>
      </c>
      <c r="M158">
        <v>1</v>
      </c>
      <c r="N158">
        <v>30000</v>
      </c>
    </row>
    <row r="159" spans="1:14" x14ac:dyDescent="0.3">
      <c r="A159" t="s">
        <v>169</v>
      </c>
      <c r="B159" t="s">
        <v>669</v>
      </c>
      <c r="C159" t="s">
        <v>1040</v>
      </c>
      <c r="D159">
        <v>60</v>
      </c>
      <c r="E159" t="str">
        <f t="shared" si="5"/>
        <v>Senior</v>
      </c>
      <c r="F159" t="s">
        <v>1158</v>
      </c>
      <c r="G159" t="s">
        <v>1178</v>
      </c>
      <c r="H159" t="s">
        <v>1180</v>
      </c>
      <c r="I159" t="s">
        <v>1186</v>
      </c>
      <c r="J159" t="s">
        <v>1196</v>
      </c>
      <c r="K159" s="2">
        <v>45735</v>
      </c>
      <c r="L159" s="2" t="str">
        <f t="shared" si="4"/>
        <v>March</v>
      </c>
      <c r="M159">
        <v>3</v>
      </c>
      <c r="N159">
        <v>7500</v>
      </c>
    </row>
    <row r="160" spans="1:14" x14ac:dyDescent="0.3">
      <c r="A160" t="s">
        <v>170</v>
      </c>
      <c r="B160" t="s">
        <v>670</v>
      </c>
      <c r="C160" t="s">
        <v>1111</v>
      </c>
      <c r="D160">
        <v>45</v>
      </c>
      <c r="E160" t="str">
        <f t="shared" si="5"/>
        <v>Adult</v>
      </c>
      <c r="F160" t="s">
        <v>1159</v>
      </c>
      <c r="G160" t="s">
        <v>1178</v>
      </c>
      <c r="H160" t="s">
        <v>1180</v>
      </c>
      <c r="I160" t="s">
        <v>1189</v>
      </c>
      <c r="J160" t="s">
        <v>1195</v>
      </c>
      <c r="K160" s="2">
        <v>45601</v>
      </c>
      <c r="L160" s="2" t="str">
        <f t="shared" si="4"/>
        <v>November</v>
      </c>
      <c r="M160">
        <v>5</v>
      </c>
      <c r="N160">
        <v>10000</v>
      </c>
    </row>
    <row r="161" spans="1:14" x14ac:dyDescent="0.3">
      <c r="A161" t="s">
        <v>171</v>
      </c>
      <c r="B161" t="s">
        <v>671</v>
      </c>
      <c r="C161" t="s">
        <v>1112</v>
      </c>
      <c r="D161">
        <v>48</v>
      </c>
      <c r="E161" t="str">
        <f t="shared" si="5"/>
        <v>Adult</v>
      </c>
      <c r="F161" t="s">
        <v>1158</v>
      </c>
      <c r="G161" t="s">
        <v>1170</v>
      </c>
      <c r="H161" t="s">
        <v>1183</v>
      </c>
      <c r="I161" t="s">
        <v>1191</v>
      </c>
      <c r="J161" t="s">
        <v>1193</v>
      </c>
      <c r="K161" s="2">
        <v>45656</v>
      </c>
      <c r="L161" s="2" t="str">
        <f t="shared" si="4"/>
        <v>December</v>
      </c>
      <c r="M161">
        <v>3</v>
      </c>
      <c r="N161">
        <v>18000</v>
      </c>
    </row>
    <row r="162" spans="1:14" x14ac:dyDescent="0.3">
      <c r="A162" t="s">
        <v>172</v>
      </c>
      <c r="B162" t="s">
        <v>672</v>
      </c>
      <c r="C162" t="s">
        <v>1026</v>
      </c>
      <c r="D162">
        <v>51</v>
      </c>
      <c r="E162" t="str">
        <f t="shared" si="5"/>
        <v>Senior</v>
      </c>
      <c r="F162" t="s">
        <v>1159</v>
      </c>
      <c r="G162" t="s">
        <v>1162</v>
      </c>
      <c r="H162" t="s">
        <v>1181</v>
      </c>
      <c r="I162" t="s">
        <v>1189</v>
      </c>
      <c r="J162" t="s">
        <v>1196</v>
      </c>
      <c r="K162" s="2">
        <v>45738</v>
      </c>
      <c r="L162" s="2" t="str">
        <f t="shared" si="4"/>
        <v>March</v>
      </c>
      <c r="M162">
        <v>5</v>
      </c>
      <c r="N162">
        <v>10000</v>
      </c>
    </row>
    <row r="163" spans="1:14" x14ac:dyDescent="0.3">
      <c r="A163" t="s">
        <v>173</v>
      </c>
      <c r="B163" t="s">
        <v>673</v>
      </c>
      <c r="C163" t="s">
        <v>1066</v>
      </c>
      <c r="D163">
        <v>51</v>
      </c>
      <c r="E163" t="str">
        <f t="shared" si="5"/>
        <v>Senior</v>
      </c>
      <c r="F163" t="s">
        <v>1158</v>
      </c>
      <c r="G163" t="s">
        <v>1165</v>
      </c>
      <c r="H163" t="s">
        <v>1179</v>
      </c>
      <c r="I163" t="s">
        <v>1191</v>
      </c>
      <c r="J163" t="s">
        <v>1195</v>
      </c>
      <c r="K163" s="2">
        <v>45823</v>
      </c>
      <c r="L163" s="2" t="str">
        <f t="shared" si="4"/>
        <v>June</v>
      </c>
      <c r="M163">
        <v>3</v>
      </c>
      <c r="N163">
        <v>18000</v>
      </c>
    </row>
    <row r="164" spans="1:14" x14ac:dyDescent="0.3">
      <c r="A164" t="s">
        <v>174</v>
      </c>
      <c r="B164" t="s">
        <v>674</v>
      </c>
      <c r="C164" t="s">
        <v>1053</v>
      </c>
      <c r="D164">
        <v>65</v>
      </c>
      <c r="E164" t="str">
        <f t="shared" si="5"/>
        <v>Senior</v>
      </c>
      <c r="F164" t="s">
        <v>1159</v>
      </c>
      <c r="G164" t="s">
        <v>1162</v>
      </c>
      <c r="H164" t="s">
        <v>1181</v>
      </c>
      <c r="I164" t="s">
        <v>1190</v>
      </c>
      <c r="J164" t="s">
        <v>1193</v>
      </c>
      <c r="K164" s="2">
        <v>45901</v>
      </c>
      <c r="L164" s="2" t="str">
        <f t="shared" si="4"/>
        <v>September</v>
      </c>
      <c r="M164">
        <v>2</v>
      </c>
      <c r="N164">
        <v>30000</v>
      </c>
    </row>
    <row r="165" spans="1:14" x14ac:dyDescent="0.3">
      <c r="A165" t="s">
        <v>175</v>
      </c>
      <c r="B165" t="s">
        <v>675</v>
      </c>
      <c r="C165" t="s">
        <v>1034</v>
      </c>
      <c r="D165">
        <v>28</v>
      </c>
      <c r="E165" t="str">
        <f t="shared" si="5"/>
        <v>Teenager</v>
      </c>
      <c r="F165" t="s">
        <v>1159</v>
      </c>
      <c r="G165" t="s">
        <v>1165</v>
      </c>
      <c r="H165" t="s">
        <v>1179</v>
      </c>
      <c r="I165" t="s">
        <v>1191</v>
      </c>
      <c r="J165" t="s">
        <v>1195</v>
      </c>
      <c r="K165" s="2">
        <v>45715</v>
      </c>
      <c r="L165" s="2" t="str">
        <f t="shared" si="4"/>
        <v>February</v>
      </c>
      <c r="M165">
        <v>1</v>
      </c>
      <c r="N165">
        <v>6000</v>
      </c>
    </row>
    <row r="166" spans="1:14" x14ac:dyDescent="0.3">
      <c r="A166" t="s">
        <v>176</v>
      </c>
      <c r="B166" t="s">
        <v>676</v>
      </c>
      <c r="C166" t="s">
        <v>1113</v>
      </c>
      <c r="D166">
        <v>19</v>
      </c>
      <c r="E166" t="str">
        <f t="shared" si="5"/>
        <v>Teenager</v>
      </c>
      <c r="F166" t="s">
        <v>1158</v>
      </c>
      <c r="G166" t="s">
        <v>1162</v>
      </c>
      <c r="H166" t="s">
        <v>1181</v>
      </c>
      <c r="I166" t="s">
        <v>1188</v>
      </c>
      <c r="J166" t="s">
        <v>1196</v>
      </c>
      <c r="K166" s="2">
        <v>45931</v>
      </c>
      <c r="L166" s="2" t="str">
        <f t="shared" si="4"/>
        <v>October</v>
      </c>
      <c r="M166">
        <v>1</v>
      </c>
      <c r="N166">
        <v>30000</v>
      </c>
    </row>
    <row r="167" spans="1:14" x14ac:dyDescent="0.3">
      <c r="A167" t="s">
        <v>177</v>
      </c>
      <c r="B167" t="s">
        <v>677</v>
      </c>
      <c r="C167" t="s">
        <v>1050</v>
      </c>
      <c r="D167">
        <v>55</v>
      </c>
      <c r="E167" t="str">
        <f t="shared" si="5"/>
        <v>Senior</v>
      </c>
      <c r="F167" t="s">
        <v>1158</v>
      </c>
      <c r="G167" t="s">
        <v>1171</v>
      </c>
      <c r="H167" t="s">
        <v>1184</v>
      </c>
      <c r="I167" t="s">
        <v>1191</v>
      </c>
      <c r="J167" t="s">
        <v>1192</v>
      </c>
      <c r="K167" s="2">
        <v>45774</v>
      </c>
      <c r="L167" s="2" t="str">
        <f t="shared" si="4"/>
        <v>April</v>
      </c>
      <c r="M167">
        <v>2</v>
      </c>
      <c r="N167">
        <v>12000</v>
      </c>
    </row>
    <row r="168" spans="1:14" x14ac:dyDescent="0.3">
      <c r="A168" t="s">
        <v>178</v>
      </c>
      <c r="B168" t="s">
        <v>678</v>
      </c>
      <c r="C168" t="s">
        <v>1047</v>
      </c>
      <c r="D168">
        <v>29</v>
      </c>
      <c r="E168" t="str">
        <f t="shared" si="5"/>
        <v>Teenager</v>
      </c>
      <c r="F168" t="s">
        <v>1158</v>
      </c>
      <c r="G168" t="s">
        <v>1167</v>
      </c>
      <c r="H168" t="s">
        <v>1182</v>
      </c>
      <c r="I168" t="s">
        <v>1186</v>
      </c>
      <c r="J168" t="s">
        <v>1196</v>
      </c>
      <c r="K168" s="2">
        <v>45654</v>
      </c>
      <c r="L168" s="2" t="str">
        <f t="shared" si="4"/>
        <v>December</v>
      </c>
      <c r="M168">
        <v>4</v>
      </c>
      <c r="N168">
        <v>10000</v>
      </c>
    </row>
    <row r="169" spans="1:14" x14ac:dyDescent="0.3">
      <c r="A169" t="s">
        <v>179</v>
      </c>
      <c r="B169" t="s">
        <v>679</v>
      </c>
      <c r="C169" t="s">
        <v>1061</v>
      </c>
      <c r="D169">
        <v>27</v>
      </c>
      <c r="E169" t="str">
        <f t="shared" si="5"/>
        <v>Teenager</v>
      </c>
      <c r="F169" t="s">
        <v>1158</v>
      </c>
      <c r="G169" t="s">
        <v>1178</v>
      </c>
      <c r="H169" t="s">
        <v>1180</v>
      </c>
      <c r="I169" t="s">
        <v>1189</v>
      </c>
      <c r="J169" t="s">
        <v>1196</v>
      </c>
      <c r="K169" s="2">
        <v>45737</v>
      </c>
      <c r="L169" s="2" t="str">
        <f t="shared" si="4"/>
        <v>March</v>
      </c>
      <c r="M169">
        <v>4</v>
      </c>
      <c r="N169">
        <v>8000</v>
      </c>
    </row>
    <row r="170" spans="1:14" x14ac:dyDescent="0.3">
      <c r="A170" t="s">
        <v>180</v>
      </c>
      <c r="B170" t="s">
        <v>680</v>
      </c>
      <c r="C170" t="s">
        <v>1063</v>
      </c>
      <c r="D170">
        <v>36</v>
      </c>
      <c r="E170" t="str">
        <f t="shared" si="5"/>
        <v>Adult</v>
      </c>
      <c r="F170" t="s">
        <v>1158</v>
      </c>
      <c r="G170" t="s">
        <v>1178</v>
      </c>
      <c r="H170" t="s">
        <v>1180</v>
      </c>
      <c r="I170" t="s">
        <v>1189</v>
      </c>
      <c r="J170" t="s">
        <v>1195</v>
      </c>
      <c r="K170" s="2">
        <v>45946</v>
      </c>
      <c r="L170" s="2" t="str">
        <f t="shared" si="4"/>
        <v>October</v>
      </c>
      <c r="M170">
        <v>1</v>
      </c>
      <c r="N170">
        <v>2000</v>
      </c>
    </row>
    <row r="171" spans="1:14" x14ac:dyDescent="0.3">
      <c r="A171" t="s">
        <v>181</v>
      </c>
      <c r="B171" t="s">
        <v>681</v>
      </c>
      <c r="C171" t="s">
        <v>1080</v>
      </c>
      <c r="D171">
        <v>62</v>
      </c>
      <c r="E171" t="str">
        <f t="shared" si="5"/>
        <v>Senior</v>
      </c>
      <c r="F171" t="s">
        <v>1158</v>
      </c>
      <c r="G171" t="s">
        <v>1176</v>
      </c>
      <c r="H171" t="s">
        <v>1179</v>
      </c>
      <c r="I171" t="s">
        <v>1190</v>
      </c>
      <c r="J171" t="s">
        <v>1192</v>
      </c>
      <c r="K171" s="2">
        <v>45612</v>
      </c>
      <c r="L171" s="2" t="str">
        <f t="shared" si="4"/>
        <v>November</v>
      </c>
      <c r="M171">
        <v>4</v>
      </c>
      <c r="N171">
        <v>60000</v>
      </c>
    </row>
    <row r="172" spans="1:14" x14ac:dyDescent="0.3">
      <c r="A172" t="s">
        <v>182</v>
      </c>
      <c r="B172" t="s">
        <v>682</v>
      </c>
      <c r="C172" t="s">
        <v>1105</v>
      </c>
      <c r="D172">
        <v>21</v>
      </c>
      <c r="E172" t="str">
        <f t="shared" si="5"/>
        <v>Teenager</v>
      </c>
      <c r="F172" t="s">
        <v>1158</v>
      </c>
      <c r="G172" t="s">
        <v>1168</v>
      </c>
      <c r="H172" t="s">
        <v>1185</v>
      </c>
      <c r="I172" t="s">
        <v>1187</v>
      </c>
      <c r="J172" t="s">
        <v>1192</v>
      </c>
      <c r="K172" s="2">
        <v>45685</v>
      </c>
      <c r="L172" s="2" t="str">
        <f t="shared" si="4"/>
        <v>January</v>
      </c>
      <c r="M172">
        <v>5</v>
      </c>
      <c r="N172">
        <v>275000</v>
      </c>
    </row>
    <row r="173" spans="1:14" x14ac:dyDescent="0.3">
      <c r="A173" t="s">
        <v>183</v>
      </c>
      <c r="B173" t="s">
        <v>683</v>
      </c>
      <c r="C173" t="s">
        <v>1110</v>
      </c>
      <c r="D173">
        <v>60</v>
      </c>
      <c r="E173" t="str">
        <f t="shared" si="5"/>
        <v>Senior</v>
      </c>
      <c r="F173" t="s">
        <v>1159</v>
      </c>
      <c r="G173" t="s">
        <v>1162</v>
      </c>
      <c r="H173" t="s">
        <v>1181</v>
      </c>
      <c r="I173" t="s">
        <v>1186</v>
      </c>
      <c r="J173" t="s">
        <v>1195</v>
      </c>
      <c r="K173" s="2">
        <v>45746</v>
      </c>
      <c r="L173" s="2" t="str">
        <f t="shared" si="4"/>
        <v>March</v>
      </c>
      <c r="M173">
        <v>2</v>
      </c>
      <c r="N173">
        <v>5000</v>
      </c>
    </row>
    <row r="174" spans="1:14" x14ac:dyDescent="0.3">
      <c r="A174" t="s">
        <v>184</v>
      </c>
      <c r="B174" t="s">
        <v>684</v>
      </c>
      <c r="C174" t="s">
        <v>1041</v>
      </c>
      <c r="D174">
        <v>28</v>
      </c>
      <c r="E174" t="str">
        <f t="shared" si="5"/>
        <v>Teenager</v>
      </c>
      <c r="F174" t="s">
        <v>1159</v>
      </c>
      <c r="G174" t="s">
        <v>1163</v>
      </c>
      <c r="H174" t="s">
        <v>1182</v>
      </c>
      <c r="I174" t="s">
        <v>1189</v>
      </c>
      <c r="J174" t="s">
        <v>1195</v>
      </c>
      <c r="K174" s="2">
        <v>45700</v>
      </c>
      <c r="L174" s="2" t="str">
        <f t="shared" si="4"/>
        <v>February</v>
      </c>
      <c r="M174">
        <v>5</v>
      </c>
      <c r="N174">
        <v>10000</v>
      </c>
    </row>
    <row r="175" spans="1:14" x14ac:dyDescent="0.3">
      <c r="A175" t="s">
        <v>185</v>
      </c>
      <c r="B175" t="s">
        <v>685</v>
      </c>
      <c r="C175" t="s">
        <v>1114</v>
      </c>
      <c r="D175">
        <v>25</v>
      </c>
      <c r="E175" t="str">
        <f t="shared" si="5"/>
        <v>Teenager</v>
      </c>
      <c r="F175" t="s">
        <v>1158</v>
      </c>
      <c r="G175" t="s">
        <v>1170</v>
      </c>
      <c r="H175" t="s">
        <v>1183</v>
      </c>
      <c r="I175" t="s">
        <v>1187</v>
      </c>
      <c r="J175" t="s">
        <v>1196</v>
      </c>
      <c r="K175" s="2">
        <v>45819</v>
      </c>
      <c r="L175" s="2" t="str">
        <f t="shared" si="4"/>
        <v>June</v>
      </c>
      <c r="M175">
        <v>5</v>
      </c>
      <c r="N175">
        <v>275000</v>
      </c>
    </row>
    <row r="176" spans="1:14" x14ac:dyDescent="0.3">
      <c r="A176" t="s">
        <v>186</v>
      </c>
      <c r="B176" t="s">
        <v>686</v>
      </c>
      <c r="C176" t="s">
        <v>1015</v>
      </c>
      <c r="D176">
        <v>63</v>
      </c>
      <c r="E176" t="str">
        <f t="shared" si="5"/>
        <v>Senior</v>
      </c>
      <c r="F176" t="s">
        <v>1158</v>
      </c>
      <c r="G176" t="s">
        <v>1176</v>
      </c>
      <c r="H176" t="s">
        <v>1179</v>
      </c>
      <c r="I176" t="s">
        <v>1191</v>
      </c>
      <c r="J176" t="s">
        <v>1194</v>
      </c>
      <c r="K176" s="2">
        <v>45597</v>
      </c>
      <c r="L176" s="2" t="str">
        <f t="shared" si="4"/>
        <v>November</v>
      </c>
      <c r="M176">
        <v>3</v>
      </c>
      <c r="N176">
        <v>18000</v>
      </c>
    </row>
    <row r="177" spans="1:14" x14ac:dyDescent="0.3">
      <c r="A177" t="s">
        <v>187</v>
      </c>
      <c r="B177" t="s">
        <v>687</v>
      </c>
      <c r="C177" t="s">
        <v>1037</v>
      </c>
      <c r="D177">
        <v>56</v>
      </c>
      <c r="E177" t="str">
        <f t="shared" si="5"/>
        <v>Senior</v>
      </c>
      <c r="F177" t="s">
        <v>1158</v>
      </c>
      <c r="G177" t="s">
        <v>1163</v>
      </c>
      <c r="H177" t="s">
        <v>1182</v>
      </c>
      <c r="I177" t="s">
        <v>1186</v>
      </c>
      <c r="J177" t="s">
        <v>1196</v>
      </c>
      <c r="K177" s="2">
        <v>45730</v>
      </c>
      <c r="L177" s="2" t="str">
        <f t="shared" si="4"/>
        <v>March</v>
      </c>
      <c r="M177">
        <v>5</v>
      </c>
      <c r="N177">
        <v>12500</v>
      </c>
    </row>
    <row r="178" spans="1:14" x14ac:dyDescent="0.3">
      <c r="A178" t="s">
        <v>188</v>
      </c>
      <c r="B178" t="s">
        <v>688</v>
      </c>
      <c r="C178" t="s">
        <v>1115</v>
      </c>
      <c r="D178">
        <v>63</v>
      </c>
      <c r="E178" t="str">
        <f t="shared" si="5"/>
        <v>Senior</v>
      </c>
      <c r="F178" t="s">
        <v>1158</v>
      </c>
      <c r="G178" t="s">
        <v>1161</v>
      </c>
      <c r="H178" t="s">
        <v>1180</v>
      </c>
      <c r="I178" t="s">
        <v>1186</v>
      </c>
      <c r="J178" t="s">
        <v>1196</v>
      </c>
      <c r="K178" s="2">
        <v>45840</v>
      </c>
      <c r="L178" s="2" t="str">
        <f t="shared" si="4"/>
        <v>July</v>
      </c>
      <c r="M178">
        <v>2</v>
      </c>
      <c r="N178">
        <v>5000</v>
      </c>
    </row>
    <row r="179" spans="1:14" x14ac:dyDescent="0.3">
      <c r="A179" t="s">
        <v>189</v>
      </c>
      <c r="B179" t="s">
        <v>689</v>
      </c>
      <c r="C179" t="s">
        <v>1050</v>
      </c>
      <c r="D179">
        <v>58</v>
      </c>
      <c r="E179" t="str">
        <f t="shared" si="5"/>
        <v>Senior</v>
      </c>
      <c r="F179" t="s">
        <v>1159</v>
      </c>
      <c r="G179" t="s">
        <v>1160</v>
      </c>
      <c r="H179" t="s">
        <v>1179</v>
      </c>
      <c r="I179" t="s">
        <v>1189</v>
      </c>
      <c r="J179" t="s">
        <v>1195</v>
      </c>
      <c r="K179" s="2">
        <v>45609</v>
      </c>
      <c r="L179" s="2" t="str">
        <f t="shared" si="4"/>
        <v>November</v>
      </c>
      <c r="M179">
        <v>4</v>
      </c>
      <c r="N179">
        <v>8000</v>
      </c>
    </row>
    <row r="180" spans="1:14" x14ac:dyDescent="0.3">
      <c r="A180" t="s">
        <v>190</v>
      </c>
      <c r="B180" t="s">
        <v>690</v>
      </c>
      <c r="C180" t="s">
        <v>1037</v>
      </c>
      <c r="D180">
        <v>60</v>
      </c>
      <c r="E180" t="str">
        <f t="shared" si="5"/>
        <v>Senior</v>
      </c>
      <c r="F180" t="s">
        <v>1159</v>
      </c>
      <c r="G180" t="s">
        <v>1162</v>
      </c>
      <c r="H180" t="s">
        <v>1181</v>
      </c>
      <c r="I180" t="s">
        <v>1187</v>
      </c>
      <c r="J180" t="s">
        <v>1196</v>
      </c>
      <c r="K180" s="2">
        <v>45747</v>
      </c>
      <c r="L180" s="2" t="str">
        <f t="shared" si="4"/>
        <v>March</v>
      </c>
      <c r="M180">
        <v>4</v>
      </c>
      <c r="N180">
        <v>220000</v>
      </c>
    </row>
    <row r="181" spans="1:14" x14ac:dyDescent="0.3">
      <c r="A181" t="s">
        <v>191</v>
      </c>
      <c r="B181" t="s">
        <v>691</v>
      </c>
      <c r="C181" t="s">
        <v>1116</v>
      </c>
      <c r="D181">
        <v>20</v>
      </c>
      <c r="E181" t="str">
        <f t="shared" si="5"/>
        <v>Teenager</v>
      </c>
      <c r="F181" t="s">
        <v>1159</v>
      </c>
      <c r="G181" t="s">
        <v>1168</v>
      </c>
      <c r="H181" t="s">
        <v>1185</v>
      </c>
      <c r="I181" t="s">
        <v>1191</v>
      </c>
      <c r="J181" t="s">
        <v>1195</v>
      </c>
      <c r="K181" s="2">
        <v>45637</v>
      </c>
      <c r="L181" s="2" t="str">
        <f t="shared" si="4"/>
        <v>December</v>
      </c>
      <c r="M181">
        <v>2</v>
      </c>
      <c r="N181">
        <v>12000</v>
      </c>
    </row>
    <row r="182" spans="1:14" x14ac:dyDescent="0.3">
      <c r="A182" t="s">
        <v>192</v>
      </c>
      <c r="B182" t="s">
        <v>692</v>
      </c>
      <c r="C182" t="s">
        <v>1068</v>
      </c>
      <c r="D182">
        <v>52</v>
      </c>
      <c r="E182" t="str">
        <f t="shared" si="5"/>
        <v>Senior</v>
      </c>
      <c r="F182" t="s">
        <v>1159</v>
      </c>
      <c r="G182" t="s">
        <v>1175</v>
      </c>
      <c r="H182" t="s">
        <v>1183</v>
      </c>
      <c r="I182" t="s">
        <v>1187</v>
      </c>
      <c r="J182" t="s">
        <v>1196</v>
      </c>
      <c r="K182" s="2">
        <v>45608</v>
      </c>
      <c r="L182" s="2" t="str">
        <f t="shared" si="4"/>
        <v>November</v>
      </c>
      <c r="M182">
        <v>1</v>
      </c>
      <c r="N182">
        <v>55000</v>
      </c>
    </row>
    <row r="183" spans="1:14" x14ac:dyDescent="0.3">
      <c r="A183" t="s">
        <v>193</v>
      </c>
      <c r="B183" t="s">
        <v>693</v>
      </c>
      <c r="C183" t="s">
        <v>1117</v>
      </c>
      <c r="D183">
        <v>53</v>
      </c>
      <c r="E183" t="str">
        <f t="shared" si="5"/>
        <v>Senior</v>
      </c>
      <c r="F183" t="s">
        <v>1158</v>
      </c>
      <c r="G183" t="s">
        <v>1172</v>
      </c>
      <c r="H183" t="s">
        <v>1185</v>
      </c>
      <c r="I183" t="s">
        <v>1189</v>
      </c>
      <c r="J183" t="s">
        <v>1196</v>
      </c>
      <c r="K183" s="2">
        <v>45883</v>
      </c>
      <c r="L183" s="2" t="str">
        <f t="shared" si="4"/>
        <v>August</v>
      </c>
      <c r="M183">
        <v>3</v>
      </c>
      <c r="N183">
        <v>6000</v>
      </c>
    </row>
    <row r="184" spans="1:14" x14ac:dyDescent="0.3">
      <c r="A184" t="s">
        <v>194</v>
      </c>
      <c r="B184" t="s">
        <v>694</v>
      </c>
      <c r="C184" t="s">
        <v>1118</v>
      </c>
      <c r="D184">
        <v>22</v>
      </c>
      <c r="E184" t="str">
        <f t="shared" si="5"/>
        <v>Teenager</v>
      </c>
      <c r="F184" t="s">
        <v>1159</v>
      </c>
      <c r="G184" t="s">
        <v>1163</v>
      </c>
      <c r="H184" t="s">
        <v>1182</v>
      </c>
      <c r="I184" t="s">
        <v>1187</v>
      </c>
      <c r="J184" t="s">
        <v>1193</v>
      </c>
      <c r="K184" s="2">
        <v>45756</v>
      </c>
      <c r="L184" s="2" t="str">
        <f t="shared" si="4"/>
        <v>April</v>
      </c>
      <c r="M184">
        <v>5</v>
      </c>
      <c r="N184">
        <v>275000</v>
      </c>
    </row>
    <row r="185" spans="1:14" x14ac:dyDescent="0.3">
      <c r="A185" t="s">
        <v>195</v>
      </c>
      <c r="B185" t="s">
        <v>695</v>
      </c>
      <c r="C185" t="s">
        <v>1027</v>
      </c>
      <c r="D185">
        <v>59</v>
      </c>
      <c r="E185" t="str">
        <f t="shared" si="5"/>
        <v>Senior</v>
      </c>
      <c r="F185" t="s">
        <v>1158</v>
      </c>
      <c r="G185" t="s">
        <v>1169</v>
      </c>
      <c r="H185" t="s">
        <v>1182</v>
      </c>
      <c r="I185" t="s">
        <v>1190</v>
      </c>
      <c r="J185" t="s">
        <v>1193</v>
      </c>
      <c r="K185" s="2">
        <v>45824</v>
      </c>
      <c r="L185" s="2" t="str">
        <f t="shared" si="4"/>
        <v>June</v>
      </c>
      <c r="M185">
        <v>3</v>
      </c>
      <c r="N185">
        <v>45000</v>
      </c>
    </row>
    <row r="186" spans="1:14" x14ac:dyDescent="0.3">
      <c r="A186" t="s">
        <v>196</v>
      </c>
      <c r="B186" t="s">
        <v>696</v>
      </c>
      <c r="C186" t="s">
        <v>1066</v>
      </c>
      <c r="D186">
        <v>19</v>
      </c>
      <c r="E186" t="str">
        <f t="shared" si="5"/>
        <v>Teenager</v>
      </c>
      <c r="F186" t="s">
        <v>1159</v>
      </c>
      <c r="G186" t="s">
        <v>1165</v>
      </c>
      <c r="H186" t="s">
        <v>1179</v>
      </c>
      <c r="I186" t="s">
        <v>1186</v>
      </c>
      <c r="J186" t="s">
        <v>1192</v>
      </c>
      <c r="K186" s="2">
        <v>45617</v>
      </c>
      <c r="L186" s="2" t="str">
        <f t="shared" si="4"/>
        <v>November</v>
      </c>
      <c r="M186">
        <v>1</v>
      </c>
      <c r="N186">
        <v>2500</v>
      </c>
    </row>
    <row r="187" spans="1:14" x14ac:dyDescent="0.3">
      <c r="A187" t="s">
        <v>197</v>
      </c>
      <c r="B187" t="s">
        <v>697</v>
      </c>
      <c r="C187" t="s">
        <v>1119</v>
      </c>
      <c r="D187">
        <v>49</v>
      </c>
      <c r="E187" t="str">
        <f t="shared" si="5"/>
        <v>Adult</v>
      </c>
      <c r="F187" t="s">
        <v>1159</v>
      </c>
      <c r="G187" t="s">
        <v>1166</v>
      </c>
      <c r="H187" t="s">
        <v>1184</v>
      </c>
      <c r="I187" t="s">
        <v>1188</v>
      </c>
      <c r="J187" t="s">
        <v>1192</v>
      </c>
      <c r="K187" s="2">
        <v>45724</v>
      </c>
      <c r="L187" s="2" t="str">
        <f t="shared" si="4"/>
        <v>March</v>
      </c>
      <c r="M187">
        <v>4</v>
      </c>
      <c r="N187">
        <v>120000</v>
      </c>
    </row>
    <row r="188" spans="1:14" x14ac:dyDescent="0.3">
      <c r="A188" t="s">
        <v>198</v>
      </c>
      <c r="B188" t="s">
        <v>698</v>
      </c>
      <c r="C188" t="s">
        <v>1120</v>
      </c>
      <c r="D188">
        <v>50</v>
      </c>
      <c r="E188" t="str">
        <f t="shared" si="5"/>
        <v>Senior</v>
      </c>
      <c r="F188" t="s">
        <v>1158</v>
      </c>
      <c r="G188" t="s">
        <v>1168</v>
      </c>
      <c r="H188" t="s">
        <v>1185</v>
      </c>
      <c r="I188" t="s">
        <v>1190</v>
      </c>
      <c r="J188" t="s">
        <v>1194</v>
      </c>
      <c r="K188" s="2">
        <v>45840</v>
      </c>
      <c r="L188" s="2" t="str">
        <f t="shared" si="4"/>
        <v>July</v>
      </c>
      <c r="M188">
        <v>5</v>
      </c>
      <c r="N188">
        <v>75000</v>
      </c>
    </row>
    <row r="189" spans="1:14" x14ac:dyDescent="0.3">
      <c r="A189" t="s">
        <v>199</v>
      </c>
      <c r="B189" t="s">
        <v>699</v>
      </c>
      <c r="C189" t="s">
        <v>1092</v>
      </c>
      <c r="D189">
        <v>24</v>
      </c>
      <c r="E189" t="str">
        <f t="shared" si="5"/>
        <v>Teenager</v>
      </c>
      <c r="F189" t="s">
        <v>1158</v>
      </c>
      <c r="G189" t="s">
        <v>1169</v>
      </c>
      <c r="H189" t="s">
        <v>1182</v>
      </c>
      <c r="I189" t="s">
        <v>1191</v>
      </c>
      <c r="J189" t="s">
        <v>1193</v>
      </c>
      <c r="K189" s="2">
        <v>45640</v>
      </c>
      <c r="L189" s="2" t="str">
        <f t="shared" si="4"/>
        <v>December</v>
      </c>
      <c r="M189">
        <v>4</v>
      </c>
      <c r="N189">
        <v>24000</v>
      </c>
    </row>
    <row r="190" spans="1:14" x14ac:dyDescent="0.3">
      <c r="A190" t="s">
        <v>200</v>
      </c>
      <c r="B190" t="s">
        <v>700</v>
      </c>
      <c r="C190" t="s">
        <v>1088</v>
      </c>
      <c r="D190">
        <v>61</v>
      </c>
      <c r="E190" t="str">
        <f t="shared" si="5"/>
        <v>Senior</v>
      </c>
      <c r="F190" t="s">
        <v>1159</v>
      </c>
      <c r="G190" t="s">
        <v>1164</v>
      </c>
      <c r="H190" t="s">
        <v>1183</v>
      </c>
      <c r="I190" t="s">
        <v>1186</v>
      </c>
      <c r="J190" t="s">
        <v>1192</v>
      </c>
      <c r="K190" s="2">
        <v>45767</v>
      </c>
      <c r="L190" s="2" t="str">
        <f t="shared" si="4"/>
        <v>April</v>
      </c>
      <c r="M190">
        <v>5</v>
      </c>
      <c r="N190">
        <v>12500</v>
      </c>
    </row>
    <row r="191" spans="1:14" x14ac:dyDescent="0.3">
      <c r="A191" t="s">
        <v>201</v>
      </c>
      <c r="B191" t="s">
        <v>701</v>
      </c>
      <c r="C191" t="s">
        <v>1022</v>
      </c>
      <c r="D191">
        <v>19</v>
      </c>
      <c r="E191" t="str">
        <f t="shared" si="5"/>
        <v>Teenager</v>
      </c>
      <c r="F191" t="s">
        <v>1158</v>
      </c>
      <c r="G191" t="s">
        <v>1171</v>
      </c>
      <c r="H191" t="s">
        <v>1184</v>
      </c>
      <c r="I191" t="s">
        <v>1187</v>
      </c>
      <c r="J191" t="s">
        <v>1196</v>
      </c>
      <c r="K191" s="2">
        <v>45859</v>
      </c>
      <c r="L191" s="2" t="str">
        <f t="shared" si="4"/>
        <v>July</v>
      </c>
      <c r="M191">
        <v>4</v>
      </c>
      <c r="N191">
        <v>220000</v>
      </c>
    </row>
    <row r="192" spans="1:14" x14ac:dyDescent="0.3">
      <c r="A192" t="s">
        <v>202</v>
      </c>
      <c r="B192" t="s">
        <v>702</v>
      </c>
      <c r="C192" t="s">
        <v>1121</v>
      </c>
      <c r="D192">
        <v>65</v>
      </c>
      <c r="E192" t="str">
        <f t="shared" si="5"/>
        <v>Senior</v>
      </c>
      <c r="F192" t="s">
        <v>1158</v>
      </c>
      <c r="G192" t="s">
        <v>1161</v>
      </c>
      <c r="H192" t="s">
        <v>1180</v>
      </c>
      <c r="I192" t="s">
        <v>1186</v>
      </c>
      <c r="J192" t="s">
        <v>1194</v>
      </c>
      <c r="K192" s="2">
        <v>45825</v>
      </c>
      <c r="L192" s="2" t="str">
        <f t="shared" si="4"/>
        <v>June</v>
      </c>
      <c r="M192">
        <v>5</v>
      </c>
      <c r="N192">
        <v>12500</v>
      </c>
    </row>
    <row r="193" spans="1:14" x14ac:dyDescent="0.3">
      <c r="A193" t="s">
        <v>203</v>
      </c>
      <c r="B193" t="s">
        <v>703</v>
      </c>
      <c r="C193" t="s">
        <v>1077</v>
      </c>
      <c r="D193">
        <v>59</v>
      </c>
      <c r="E193" t="str">
        <f t="shared" si="5"/>
        <v>Senior</v>
      </c>
      <c r="F193" t="s">
        <v>1159</v>
      </c>
      <c r="G193" t="s">
        <v>1177</v>
      </c>
      <c r="H193" t="s">
        <v>1184</v>
      </c>
      <c r="I193" t="s">
        <v>1186</v>
      </c>
      <c r="J193" t="s">
        <v>1196</v>
      </c>
      <c r="K193" s="2">
        <v>45654</v>
      </c>
      <c r="L193" s="2" t="str">
        <f t="shared" si="4"/>
        <v>December</v>
      </c>
      <c r="M193">
        <v>1</v>
      </c>
      <c r="N193">
        <v>2500</v>
      </c>
    </row>
    <row r="194" spans="1:14" x14ac:dyDescent="0.3">
      <c r="A194" t="s">
        <v>204</v>
      </c>
      <c r="B194" t="s">
        <v>704</v>
      </c>
      <c r="C194" t="s">
        <v>1122</v>
      </c>
      <c r="D194">
        <v>37</v>
      </c>
      <c r="E194" t="str">
        <f t="shared" si="5"/>
        <v>Adult</v>
      </c>
      <c r="F194" t="s">
        <v>1159</v>
      </c>
      <c r="G194" t="s">
        <v>1172</v>
      </c>
      <c r="H194" t="s">
        <v>1185</v>
      </c>
      <c r="I194" t="s">
        <v>1191</v>
      </c>
      <c r="J194" t="s">
        <v>1192</v>
      </c>
      <c r="K194" s="2">
        <v>45796</v>
      </c>
      <c r="L194" s="2" t="str">
        <f t="shared" si="4"/>
        <v>May</v>
      </c>
      <c r="M194">
        <v>1</v>
      </c>
      <c r="N194">
        <v>6000</v>
      </c>
    </row>
    <row r="195" spans="1:14" x14ac:dyDescent="0.3">
      <c r="A195" t="s">
        <v>205</v>
      </c>
      <c r="B195" t="s">
        <v>705</v>
      </c>
      <c r="C195" t="s">
        <v>1025</v>
      </c>
      <c r="D195">
        <v>30</v>
      </c>
      <c r="E195" t="str">
        <f t="shared" si="5"/>
        <v>Adult</v>
      </c>
      <c r="F195" t="s">
        <v>1158</v>
      </c>
      <c r="G195" t="s">
        <v>1165</v>
      </c>
      <c r="H195" t="s">
        <v>1179</v>
      </c>
      <c r="I195" t="s">
        <v>1189</v>
      </c>
      <c r="J195" t="s">
        <v>1196</v>
      </c>
      <c r="K195" s="2">
        <v>45892</v>
      </c>
      <c r="L195" s="2" t="str">
        <f t="shared" ref="L195:L258" si="6">TEXT(K195,"mmmm")</f>
        <v>August</v>
      </c>
      <c r="M195">
        <v>3</v>
      </c>
      <c r="N195">
        <v>6000</v>
      </c>
    </row>
    <row r="196" spans="1:14" x14ac:dyDescent="0.3">
      <c r="A196" t="s">
        <v>206</v>
      </c>
      <c r="B196" t="s">
        <v>706</v>
      </c>
      <c r="C196" t="s">
        <v>1123</v>
      </c>
      <c r="D196">
        <v>30</v>
      </c>
      <c r="E196" t="str">
        <f t="shared" ref="E196:E259" si="7">IF(D196&gt;=50,"Senior", IF(D196&gt;=30,"Adult", "Teenager"))</f>
        <v>Adult</v>
      </c>
      <c r="F196" t="s">
        <v>1159</v>
      </c>
      <c r="G196" t="s">
        <v>1169</v>
      </c>
      <c r="H196" t="s">
        <v>1182</v>
      </c>
      <c r="I196" t="s">
        <v>1189</v>
      </c>
      <c r="J196" t="s">
        <v>1196</v>
      </c>
      <c r="K196" s="2">
        <v>45822</v>
      </c>
      <c r="L196" s="2" t="str">
        <f t="shared" si="6"/>
        <v>June</v>
      </c>
      <c r="M196">
        <v>1</v>
      </c>
      <c r="N196">
        <v>2000</v>
      </c>
    </row>
    <row r="197" spans="1:14" x14ac:dyDescent="0.3">
      <c r="A197" t="s">
        <v>207</v>
      </c>
      <c r="B197" t="s">
        <v>707</v>
      </c>
      <c r="C197" t="s">
        <v>1108</v>
      </c>
      <c r="D197">
        <v>60</v>
      </c>
      <c r="E197" t="str">
        <f t="shared" si="7"/>
        <v>Senior</v>
      </c>
      <c r="F197" t="s">
        <v>1158</v>
      </c>
      <c r="G197" t="s">
        <v>1161</v>
      </c>
      <c r="H197" t="s">
        <v>1180</v>
      </c>
      <c r="I197" t="s">
        <v>1191</v>
      </c>
      <c r="J197" t="s">
        <v>1193</v>
      </c>
      <c r="K197" s="2">
        <v>45892</v>
      </c>
      <c r="L197" s="2" t="str">
        <f t="shared" si="6"/>
        <v>August</v>
      </c>
      <c r="M197">
        <v>4</v>
      </c>
      <c r="N197">
        <v>24000</v>
      </c>
    </row>
    <row r="198" spans="1:14" x14ac:dyDescent="0.3">
      <c r="A198" t="s">
        <v>208</v>
      </c>
      <c r="B198" t="s">
        <v>708</v>
      </c>
      <c r="C198" t="s">
        <v>1089</v>
      </c>
      <c r="D198">
        <v>37</v>
      </c>
      <c r="E198" t="str">
        <f t="shared" si="7"/>
        <v>Adult</v>
      </c>
      <c r="F198" t="s">
        <v>1159</v>
      </c>
      <c r="G198" t="s">
        <v>1167</v>
      </c>
      <c r="H198" t="s">
        <v>1182</v>
      </c>
      <c r="I198" t="s">
        <v>1187</v>
      </c>
      <c r="J198" t="s">
        <v>1195</v>
      </c>
      <c r="K198" s="2">
        <v>45619</v>
      </c>
      <c r="L198" s="2" t="str">
        <f t="shared" si="6"/>
        <v>November</v>
      </c>
      <c r="M198">
        <v>3</v>
      </c>
      <c r="N198">
        <v>165000</v>
      </c>
    </row>
    <row r="199" spans="1:14" x14ac:dyDescent="0.3">
      <c r="A199" t="s">
        <v>209</v>
      </c>
      <c r="B199" t="s">
        <v>709</v>
      </c>
      <c r="C199" t="s">
        <v>1122</v>
      </c>
      <c r="D199">
        <v>57</v>
      </c>
      <c r="E199" t="str">
        <f t="shared" si="7"/>
        <v>Senior</v>
      </c>
      <c r="F199" t="s">
        <v>1158</v>
      </c>
      <c r="G199" t="s">
        <v>1165</v>
      </c>
      <c r="H199" t="s">
        <v>1179</v>
      </c>
      <c r="I199" t="s">
        <v>1187</v>
      </c>
      <c r="J199" t="s">
        <v>1195</v>
      </c>
      <c r="K199" s="2">
        <v>45738</v>
      </c>
      <c r="L199" s="2" t="str">
        <f t="shared" si="6"/>
        <v>March</v>
      </c>
      <c r="M199">
        <v>3</v>
      </c>
      <c r="N199">
        <v>165000</v>
      </c>
    </row>
    <row r="200" spans="1:14" x14ac:dyDescent="0.3">
      <c r="A200" t="s">
        <v>210</v>
      </c>
      <c r="B200" t="s">
        <v>710</v>
      </c>
      <c r="C200" t="s">
        <v>1118</v>
      </c>
      <c r="D200">
        <v>22</v>
      </c>
      <c r="E200" t="str">
        <f t="shared" si="7"/>
        <v>Teenager</v>
      </c>
      <c r="F200" t="s">
        <v>1159</v>
      </c>
      <c r="G200" t="s">
        <v>1162</v>
      </c>
      <c r="H200" t="s">
        <v>1181</v>
      </c>
      <c r="I200" t="s">
        <v>1187</v>
      </c>
      <c r="J200" t="s">
        <v>1196</v>
      </c>
      <c r="K200" s="2">
        <v>45602</v>
      </c>
      <c r="L200" s="2" t="str">
        <f t="shared" si="6"/>
        <v>November</v>
      </c>
      <c r="M200">
        <v>1</v>
      </c>
      <c r="N200">
        <v>55000</v>
      </c>
    </row>
    <row r="201" spans="1:14" x14ac:dyDescent="0.3">
      <c r="A201" t="s">
        <v>211</v>
      </c>
      <c r="B201" t="s">
        <v>711</v>
      </c>
      <c r="C201" t="s">
        <v>1101</v>
      </c>
      <c r="D201">
        <v>23</v>
      </c>
      <c r="E201" t="str">
        <f t="shared" si="7"/>
        <v>Teenager</v>
      </c>
      <c r="F201" t="s">
        <v>1158</v>
      </c>
      <c r="G201" t="s">
        <v>1174</v>
      </c>
      <c r="H201" t="s">
        <v>1180</v>
      </c>
      <c r="I201" t="s">
        <v>1189</v>
      </c>
      <c r="J201" t="s">
        <v>1193</v>
      </c>
      <c r="K201" s="2">
        <v>45860</v>
      </c>
      <c r="L201" s="2" t="str">
        <f t="shared" si="6"/>
        <v>July</v>
      </c>
      <c r="M201">
        <v>2</v>
      </c>
      <c r="N201">
        <v>4000</v>
      </c>
    </row>
    <row r="202" spans="1:14" x14ac:dyDescent="0.3">
      <c r="A202" t="s">
        <v>212</v>
      </c>
      <c r="B202" t="s">
        <v>712</v>
      </c>
      <c r="C202" t="s">
        <v>1124</v>
      </c>
      <c r="D202">
        <v>48</v>
      </c>
      <c r="E202" t="str">
        <f t="shared" si="7"/>
        <v>Adult</v>
      </c>
      <c r="F202" t="s">
        <v>1159</v>
      </c>
      <c r="G202" t="s">
        <v>1165</v>
      </c>
      <c r="H202" t="s">
        <v>1179</v>
      </c>
      <c r="I202" t="s">
        <v>1187</v>
      </c>
      <c r="J202" t="s">
        <v>1194</v>
      </c>
      <c r="K202" s="2">
        <v>45726</v>
      </c>
      <c r="L202" s="2" t="str">
        <f t="shared" si="6"/>
        <v>March</v>
      </c>
      <c r="M202">
        <v>5</v>
      </c>
      <c r="N202">
        <v>275000</v>
      </c>
    </row>
    <row r="203" spans="1:14" x14ac:dyDescent="0.3">
      <c r="A203" t="s">
        <v>213</v>
      </c>
      <c r="B203" t="s">
        <v>713</v>
      </c>
      <c r="C203" t="s">
        <v>1125</v>
      </c>
      <c r="D203">
        <v>33</v>
      </c>
      <c r="E203" t="str">
        <f t="shared" si="7"/>
        <v>Adult</v>
      </c>
      <c r="F203" t="s">
        <v>1159</v>
      </c>
      <c r="G203" t="s">
        <v>1162</v>
      </c>
      <c r="H203" t="s">
        <v>1181</v>
      </c>
      <c r="I203" t="s">
        <v>1190</v>
      </c>
      <c r="J203" t="s">
        <v>1192</v>
      </c>
      <c r="K203" s="2">
        <v>45651</v>
      </c>
      <c r="L203" s="2" t="str">
        <f t="shared" si="6"/>
        <v>December</v>
      </c>
      <c r="M203">
        <v>1</v>
      </c>
      <c r="N203">
        <v>15000</v>
      </c>
    </row>
    <row r="204" spans="1:14" x14ac:dyDescent="0.3">
      <c r="A204" t="s">
        <v>214</v>
      </c>
      <c r="B204" t="s">
        <v>714</v>
      </c>
      <c r="C204" t="s">
        <v>1113</v>
      </c>
      <c r="D204">
        <v>55</v>
      </c>
      <c r="E204" t="str">
        <f t="shared" si="7"/>
        <v>Senior</v>
      </c>
      <c r="F204" t="s">
        <v>1159</v>
      </c>
      <c r="G204" t="s">
        <v>1174</v>
      </c>
      <c r="H204" t="s">
        <v>1180</v>
      </c>
      <c r="I204" t="s">
        <v>1186</v>
      </c>
      <c r="J204" t="s">
        <v>1193</v>
      </c>
      <c r="K204" s="2">
        <v>45600</v>
      </c>
      <c r="L204" s="2" t="str">
        <f t="shared" si="6"/>
        <v>November</v>
      </c>
      <c r="M204">
        <v>1</v>
      </c>
      <c r="N204">
        <v>2500</v>
      </c>
    </row>
    <row r="205" spans="1:14" x14ac:dyDescent="0.3">
      <c r="A205" t="s">
        <v>215</v>
      </c>
      <c r="B205" t="s">
        <v>715</v>
      </c>
      <c r="C205" t="s">
        <v>1041</v>
      </c>
      <c r="D205">
        <v>27</v>
      </c>
      <c r="E205" t="str">
        <f t="shared" si="7"/>
        <v>Teenager</v>
      </c>
      <c r="F205" t="s">
        <v>1158</v>
      </c>
      <c r="G205" t="s">
        <v>1173</v>
      </c>
      <c r="H205" t="s">
        <v>1185</v>
      </c>
      <c r="I205" t="s">
        <v>1188</v>
      </c>
      <c r="J205" t="s">
        <v>1193</v>
      </c>
      <c r="K205" s="2">
        <v>45693</v>
      </c>
      <c r="L205" s="2" t="str">
        <f t="shared" si="6"/>
        <v>February</v>
      </c>
      <c r="M205">
        <v>4</v>
      </c>
      <c r="N205">
        <v>120000</v>
      </c>
    </row>
    <row r="206" spans="1:14" x14ac:dyDescent="0.3">
      <c r="A206" t="s">
        <v>216</v>
      </c>
      <c r="B206" t="s">
        <v>716</v>
      </c>
      <c r="C206" t="s">
        <v>1049</v>
      </c>
      <c r="D206">
        <v>36</v>
      </c>
      <c r="E206" t="str">
        <f t="shared" si="7"/>
        <v>Adult</v>
      </c>
      <c r="F206" t="s">
        <v>1158</v>
      </c>
      <c r="G206" t="s">
        <v>1168</v>
      </c>
      <c r="H206" t="s">
        <v>1185</v>
      </c>
      <c r="I206" t="s">
        <v>1187</v>
      </c>
      <c r="J206" t="s">
        <v>1192</v>
      </c>
      <c r="K206" s="2">
        <v>45649</v>
      </c>
      <c r="L206" s="2" t="str">
        <f t="shared" si="6"/>
        <v>December</v>
      </c>
      <c r="M206">
        <v>2</v>
      </c>
      <c r="N206">
        <v>110000</v>
      </c>
    </row>
    <row r="207" spans="1:14" x14ac:dyDescent="0.3">
      <c r="A207" t="s">
        <v>217</v>
      </c>
      <c r="B207" t="s">
        <v>717</v>
      </c>
      <c r="C207" t="s">
        <v>1043</v>
      </c>
      <c r="D207">
        <v>36</v>
      </c>
      <c r="E207" t="str">
        <f t="shared" si="7"/>
        <v>Adult</v>
      </c>
      <c r="F207" t="s">
        <v>1159</v>
      </c>
      <c r="G207" t="s">
        <v>1160</v>
      </c>
      <c r="H207" t="s">
        <v>1179</v>
      </c>
      <c r="I207" t="s">
        <v>1189</v>
      </c>
      <c r="J207" t="s">
        <v>1195</v>
      </c>
      <c r="K207" s="2">
        <v>45935</v>
      </c>
      <c r="L207" s="2" t="str">
        <f t="shared" si="6"/>
        <v>October</v>
      </c>
      <c r="M207">
        <v>4</v>
      </c>
      <c r="N207">
        <v>8000</v>
      </c>
    </row>
    <row r="208" spans="1:14" x14ac:dyDescent="0.3">
      <c r="A208" t="s">
        <v>218</v>
      </c>
      <c r="B208" t="s">
        <v>718</v>
      </c>
      <c r="C208" t="s">
        <v>1083</v>
      </c>
      <c r="D208">
        <v>20</v>
      </c>
      <c r="E208" t="str">
        <f t="shared" si="7"/>
        <v>Teenager</v>
      </c>
      <c r="F208" t="s">
        <v>1158</v>
      </c>
      <c r="G208" t="s">
        <v>1167</v>
      </c>
      <c r="H208" t="s">
        <v>1182</v>
      </c>
      <c r="I208" t="s">
        <v>1190</v>
      </c>
      <c r="J208" t="s">
        <v>1196</v>
      </c>
      <c r="K208" s="2">
        <v>45718</v>
      </c>
      <c r="L208" s="2" t="str">
        <f t="shared" si="6"/>
        <v>March</v>
      </c>
      <c r="M208">
        <v>3</v>
      </c>
      <c r="N208">
        <v>45000</v>
      </c>
    </row>
    <row r="209" spans="1:14" x14ac:dyDescent="0.3">
      <c r="A209" t="s">
        <v>219</v>
      </c>
      <c r="B209" t="s">
        <v>719</v>
      </c>
      <c r="C209" t="s">
        <v>1115</v>
      </c>
      <c r="D209">
        <v>22</v>
      </c>
      <c r="E209" t="str">
        <f t="shared" si="7"/>
        <v>Teenager</v>
      </c>
      <c r="F209" t="s">
        <v>1159</v>
      </c>
      <c r="G209" t="s">
        <v>1165</v>
      </c>
      <c r="H209" t="s">
        <v>1179</v>
      </c>
      <c r="I209" t="s">
        <v>1187</v>
      </c>
      <c r="J209" t="s">
        <v>1194</v>
      </c>
      <c r="K209" s="2">
        <v>45944</v>
      </c>
      <c r="L209" s="2" t="str">
        <f t="shared" si="6"/>
        <v>October</v>
      </c>
      <c r="M209">
        <v>5</v>
      </c>
      <c r="N209">
        <v>275000</v>
      </c>
    </row>
    <row r="210" spans="1:14" x14ac:dyDescent="0.3">
      <c r="A210" t="s">
        <v>220</v>
      </c>
      <c r="B210" t="s">
        <v>720</v>
      </c>
      <c r="C210" t="s">
        <v>1126</v>
      </c>
      <c r="D210">
        <v>25</v>
      </c>
      <c r="E210" t="str">
        <f t="shared" si="7"/>
        <v>Teenager</v>
      </c>
      <c r="F210" t="s">
        <v>1158</v>
      </c>
      <c r="G210" t="s">
        <v>1175</v>
      </c>
      <c r="H210" t="s">
        <v>1183</v>
      </c>
      <c r="I210" t="s">
        <v>1189</v>
      </c>
      <c r="J210" t="s">
        <v>1193</v>
      </c>
      <c r="K210" s="2">
        <v>45870</v>
      </c>
      <c r="L210" s="2" t="str">
        <f t="shared" si="6"/>
        <v>August</v>
      </c>
      <c r="M210">
        <v>3</v>
      </c>
      <c r="N210">
        <v>6000</v>
      </c>
    </row>
    <row r="211" spans="1:14" x14ac:dyDescent="0.3">
      <c r="A211" t="s">
        <v>221</v>
      </c>
      <c r="B211" t="s">
        <v>721</v>
      </c>
      <c r="C211" t="s">
        <v>1127</v>
      </c>
      <c r="D211">
        <v>52</v>
      </c>
      <c r="E211" t="str">
        <f t="shared" si="7"/>
        <v>Senior</v>
      </c>
      <c r="F211" t="s">
        <v>1158</v>
      </c>
      <c r="G211" t="s">
        <v>1161</v>
      </c>
      <c r="H211" t="s">
        <v>1180</v>
      </c>
      <c r="I211" t="s">
        <v>1190</v>
      </c>
      <c r="J211" t="s">
        <v>1193</v>
      </c>
      <c r="K211" s="2">
        <v>45878</v>
      </c>
      <c r="L211" s="2" t="str">
        <f t="shared" si="6"/>
        <v>August</v>
      </c>
      <c r="M211">
        <v>5</v>
      </c>
      <c r="N211">
        <v>75000</v>
      </c>
    </row>
    <row r="212" spans="1:14" x14ac:dyDescent="0.3">
      <c r="A212" t="s">
        <v>222</v>
      </c>
      <c r="B212" t="s">
        <v>722</v>
      </c>
      <c r="C212" t="s">
        <v>1126</v>
      </c>
      <c r="D212">
        <v>47</v>
      </c>
      <c r="E212" t="str">
        <f t="shared" si="7"/>
        <v>Adult</v>
      </c>
      <c r="F212" t="s">
        <v>1158</v>
      </c>
      <c r="G212" t="s">
        <v>1166</v>
      </c>
      <c r="H212" t="s">
        <v>1184</v>
      </c>
      <c r="I212" t="s">
        <v>1191</v>
      </c>
      <c r="J212" t="s">
        <v>1196</v>
      </c>
      <c r="K212" s="2">
        <v>45696</v>
      </c>
      <c r="L212" s="2" t="str">
        <f t="shared" si="6"/>
        <v>February</v>
      </c>
      <c r="M212">
        <v>4</v>
      </c>
      <c r="N212">
        <v>24000</v>
      </c>
    </row>
    <row r="213" spans="1:14" x14ac:dyDescent="0.3">
      <c r="A213" t="s">
        <v>223</v>
      </c>
      <c r="B213" t="s">
        <v>723</v>
      </c>
      <c r="C213" t="s">
        <v>1048</v>
      </c>
      <c r="D213">
        <v>65</v>
      </c>
      <c r="E213" t="str">
        <f t="shared" si="7"/>
        <v>Senior</v>
      </c>
      <c r="F213" t="s">
        <v>1158</v>
      </c>
      <c r="G213" t="s">
        <v>1171</v>
      </c>
      <c r="H213" t="s">
        <v>1184</v>
      </c>
      <c r="I213" t="s">
        <v>1189</v>
      </c>
      <c r="J213" t="s">
        <v>1193</v>
      </c>
      <c r="K213" s="2">
        <v>45849</v>
      </c>
      <c r="L213" s="2" t="str">
        <f t="shared" si="6"/>
        <v>July</v>
      </c>
      <c r="M213">
        <v>2</v>
      </c>
      <c r="N213">
        <v>4000</v>
      </c>
    </row>
    <row r="214" spans="1:14" x14ac:dyDescent="0.3">
      <c r="A214" t="s">
        <v>224</v>
      </c>
      <c r="B214" t="s">
        <v>724</v>
      </c>
      <c r="C214" t="s">
        <v>1043</v>
      </c>
      <c r="D214">
        <v>42</v>
      </c>
      <c r="E214" t="str">
        <f t="shared" si="7"/>
        <v>Adult</v>
      </c>
      <c r="F214" t="s">
        <v>1159</v>
      </c>
      <c r="G214" t="s">
        <v>1162</v>
      </c>
      <c r="H214" t="s">
        <v>1181</v>
      </c>
      <c r="I214" t="s">
        <v>1189</v>
      </c>
      <c r="J214" t="s">
        <v>1194</v>
      </c>
      <c r="K214" s="2">
        <v>45947</v>
      </c>
      <c r="L214" s="2" t="str">
        <f t="shared" si="6"/>
        <v>October</v>
      </c>
      <c r="M214">
        <v>4</v>
      </c>
      <c r="N214">
        <v>8000</v>
      </c>
    </row>
    <row r="215" spans="1:14" x14ac:dyDescent="0.3">
      <c r="A215" t="s">
        <v>225</v>
      </c>
      <c r="B215" t="s">
        <v>725</v>
      </c>
      <c r="C215" t="s">
        <v>1017</v>
      </c>
      <c r="D215">
        <v>59</v>
      </c>
      <c r="E215" t="str">
        <f t="shared" si="7"/>
        <v>Senior</v>
      </c>
      <c r="F215" t="s">
        <v>1158</v>
      </c>
      <c r="G215" t="s">
        <v>1171</v>
      </c>
      <c r="H215" t="s">
        <v>1184</v>
      </c>
      <c r="I215" t="s">
        <v>1190</v>
      </c>
      <c r="J215" t="s">
        <v>1193</v>
      </c>
      <c r="K215" s="2">
        <v>45648</v>
      </c>
      <c r="L215" s="2" t="str">
        <f t="shared" si="6"/>
        <v>December</v>
      </c>
      <c r="M215">
        <v>1</v>
      </c>
      <c r="N215">
        <v>15000</v>
      </c>
    </row>
    <row r="216" spans="1:14" x14ac:dyDescent="0.3">
      <c r="A216" t="s">
        <v>226</v>
      </c>
      <c r="B216" t="s">
        <v>726</v>
      </c>
      <c r="C216" t="s">
        <v>1104</v>
      </c>
      <c r="D216">
        <v>64</v>
      </c>
      <c r="E216" t="str">
        <f t="shared" si="7"/>
        <v>Senior</v>
      </c>
      <c r="F216" t="s">
        <v>1159</v>
      </c>
      <c r="G216" t="s">
        <v>1170</v>
      </c>
      <c r="H216" t="s">
        <v>1183</v>
      </c>
      <c r="I216" t="s">
        <v>1186</v>
      </c>
      <c r="J216" t="s">
        <v>1192</v>
      </c>
      <c r="K216" s="2">
        <v>45773</v>
      </c>
      <c r="L216" s="2" t="str">
        <f t="shared" si="6"/>
        <v>April</v>
      </c>
      <c r="M216">
        <v>1</v>
      </c>
      <c r="N216">
        <v>2500</v>
      </c>
    </row>
    <row r="217" spans="1:14" x14ac:dyDescent="0.3">
      <c r="A217" t="s">
        <v>227</v>
      </c>
      <c r="B217" t="s">
        <v>727</v>
      </c>
      <c r="C217" t="s">
        <v>1085</v>
      </c>
      <c r="D217">
        <v>53</v>
      </c>
      <c r="E217" t="str">
        <f t="shared" si="7"/>
        <v>Senior</v>
      </c>
      <c r="F217" t="s">
        <v>1158</v>
      </c>
      <c r="G217" t="s">
        <v>1173</v>
      </c>
      <c r="H217" t="s">
        <v>1185</v>
      </c>
      <c r="I217" t="s">
        <v>1189</v>
      </c>
      <c r="J217" t="s">
        <v>1195</v>
      </c>
      <c r="K217" s="2">
        <v>45697</v>
      </c>
      <c r="L217" s="2" t="str">
        <f t="shared" si="6"/>
        <v>February</v>
      </c>
      <c r="M217">
        <v>2</v>
      </c>
      <c r="N217">
        <v>4000</v>
      </c>
    </row>
    <row r="218" spans="1:14" x14ac:dyDescent="0.3">
      <c r="A218" t="s">
        <v>228</v>
      </c>
      <c r="B218" t="s">
        <v>728</v>
      </c>
      <c r="C218" t="s">
        <v>1015</v>
      </c>
      <c r="D218">
        <v>42</v>
      </c>
      <c r="E218" t="str">
        <f t="shared" si="7"/>
        <v>Adult</v>
      </c>
      <c r="F218" t="s">
        <v>1158</v>
      </c>
      <c r="G218" t="s">
        <v>1173</v>
      </c>
      <c r="H218" t="s">
        <v>1185</v>
      </c>
      <c r="I218" t="s">
        <v>1187</v>
      </c>
      <c r="J218" t="s">
        <v>1196</v>
      </c>
      <c r="K218" s="2">
        <v>45702</v>
      </c>
      <c r="L218" s="2" t="str">
        <f t="shared" si="6"/>
        <v>February</v>
      </c>
      <c r="M218">
        <v>4</v>
      </c>
      <c r="N218">
        <v>220000</v>
      </c>
    </row>
    <row r="219" spans="1:14" x14ac:dyDescent="0.3">
      <c r="A219" t="s">
        <v>229</v>
      </c>
      <c r="B219" t="s">
        <v>729</v>
      </c>
      <c r="C219" t="s">
        <v>1022</v>
      </c>
      <c r="D219">
        <v>52</v>
      </c>
      <c r="E219" t="str">
        <f t="shared" si="7"/>
        <v>Senior</v>
      </c>
      <c r="F219" t="s">
        <v>1159</v>
      </c>
      <c r="G219" t="s">
        <v>1177</v>
      </c>
      <c r="H219" t="s">
        <v>1184</v>
      </c>
      <c r="I219" t="s">
        <v>1188</v>
      </c>
      <c r="J219" t="s">
        <v>1195</v>
      </c>
      <c r="K219" s="2">
        <v>45592</v>
      </c>
      <c r="L219" s="2" t="str">
        <f t="shared" si="6"/>
        <v>October</v>
      </c>
      <c r="M219">
        <v>5</v>
      </c>
      <c r="N219">
        <v>150000</v>
      </c>
    </row>
    <row r="220" spans="1:14" x14ac:dyDescent="0.3">
      <c r="A220" t="s">
        <v>230</v>
      </c>
      <c r="B220" t="s">
        <v>730</v>
      </c>
      <c r="C220" t="s">
        <v>1040</v>
      </c>
      <c r="D220">
        <v>57</v>
      </c>
      <c r="E220" t="str">
        <f t="shared" si="7"/>
        <v>Senior</v>
      </c>
      <c r="F220" t="s">
        <v>1158</v>
      </c>
      <c r="G220" t="s">
        <v>1175</v>
      </c>
      <c r="H220" t="s">
        <v>1183</v>
      </c>
      <c r="I220" t="s">
        <v>1186</v>
      </c>
      <c r="J220" t="s">
        <v>1194</v>
      </c>
      <c r="K220" s="2">
        <v>45693</v>
      </c>
      <c r="L220" s="2" t="str">
        <f t="shared" si="6"/>
        <v>February</v>
      </c>
      <c r="M220">
        <v>5</v>
      </c>
      <c r="N220">
        <v>12500</v>
      </c>
    </row>
    <row r="221" spans="1:14" x14ac:dyDescent="0.3">
      <c r="A221" t="s">
        <v>231</v>
      </c>
      <c r="B221" t="s">
        <v>731</v>
      </c>
      <c r="C221" t="s">
        <v>1102</v>
      </c>
      <c r="D221">
        <v>26</v>
      </c>
      <c r="E221" t="str">
        <f t="shared" si="7"/>
        <v>Teenager</v>
      </c>
      <c r="F221" t="s">
        <v>1159</v>
      </c>
      <c r="G221" t="s">
        <v>1170</v>
      </c>
      <c r="H221" t="s">
        <v>1183</v>
      </c>
      <c r="I221" t="s">
        <v>1187</v>
      </c>
      <c r="J221" t="s">
        <v>1195</v>
      </c>
      <c r="K221" s="2">
        <v>45931</v>
      </c>
      <c r="L221" s="2" t="str">
        <f t="shared" si="6"/>
        <v>October</v>
      </c>
      <c r="M221">
        <v>1</v>
      </c>
      <c r="N221">
        <v>55000</v>
      </c>
    </row>
    <row r="222" spans="1:14" x14ac:dyDescent="0.3">
      <c r="A222" t="s">
        <v>232</v>
      </c>
      <c r="B222" t="s">
        <v>732</v>
      </c>
      <c r="C222" t="s">
        <v>1022</v>
      </c>
      <c r="D222">
        <v>38</v>
      </c>
      <c r="E222" t="str">
        <f t="shared" si="7"/>
        <v>Adult</v>
      </c>
      <c r="F222" t="s">
        <v>1158</v>
      </c>
      <c r="G222" t="s">
        <v>1161</v>
      </c>
      <c r="H222" t="s">
        <v>1180</v>
      </c>
      <c r="I222" t="s">
        <v>1188</v>
      </c>
      <c r="J222" t="s">
        <v>1195</v>
      </c>
      <c r="K222" s="2">
        <v>45613</v>
      </c>
      <c r="L222" s="2" t="str">
        <f t="shared" si="6"/>
        <v>November</v>
      </c>
      <c r="M222">
        <v>4</v>
      </c>
      <c r="N222">
        <v>120000</v>
      </c>
    </row>
    <row r="223" spans="1:14" x14ac:dyDescent="0.3">
      <c r="A223" t="s">
        <v>233</v>
      </c>
      <c r="B223" t="s">
        <v>733</v>
      </c>
      <c r="C223" t="s">
        <v>1023</v>
      </c>
      <c r="D223">
        <v>37</v>
      </c>
      <c r="E223" t="str">
        <f t="shared" si="7"/>
        <v>Adult</v>
      </c>
      <c r="F223" t="s">
        <v>1159</v>
      </c>
      <c r="G223" t="s">
        <v>1163</v>
      </c>
      <c r="H223" t="s">
        <v>1182</v>
      </c>
      <c r="I223" t="s">
        <v>1191</v>
      </c>
      <c r="J223" t="s">
        <v>1192</v>
      </c>
      <c r="K223" s="2">
        <v>45929</v>
      </c>
      <c r="L223" s="2" t="str">
        <f t="shared" si="6"/>
        <v>September</v>
      </c>
      <c r="M223">
        <v>5</v>
      </c>
      <c r="N223">
        <v>30000</v>
      </c>
    </row>
    <row r="224" spans="1:14" x14ac:dyDescent="0.3">
      <c r="A224" t="s">
        <v>234</v>
      </c>
      <c r="B224" t="s">
        <v>734</v>
      </c>
      <c r="C224" t="s">
        <v>1108</v>
      </c>
      <c r="D224">
        <v>39</v>
      </c>
      <c r="E224" t="str">
        <f t="shared" si="7"/>
        <v>Adult</v>
      </c>
      <c r="F224" t="s">
        <v>1159</v>
      </c>
      <c r="G224" t="s">
        <v>1171</v>
      </c>
      <c r="H224" t="s">
        <v>1184</v>
      </c>
      <c r="I224" t="s">
        <v>1190</v>
      </c>
      <c r="J224" t="s">
        <v>1196</v>
      </c>
      <c r="K224" s="2">
        <v>45729</v>
      </c>
      <c r="L224" s="2" t="str">
        <f t="shared" si="6"/>
        <v>March</v>
      </c>
      <c r="M224">
        <v>1</v>
      </c>
      <c r="N224">
        <v>15000</v>
      </c>
    </row>
    <row r="225" spans="1:14" x14ac:dyDescent="0.3">
      <c r="A225" t="s">
        <v>235</v>
      </c>
      <c r="B225" t="s">
        <v>735</v>
      </c>
      <c r="C225" t="s">
        <v>1104</v>
      </c>
      <c r="D225">
        <v>55</v>
      </c>
      <c r="E225" t="str">
        <f t="shared" si="7"/>
        <v>Senior</v>
      </c>
      <c r="F225" t="s">
        <v>1159</v>
      </c>
      <c r="G225" t="s">
        <v>1166</v>
      </c>
      <c r="H225" t="s">
        <v>1184</v>
      </c>
      <c r="I225" t="s">
        <v>1187</v>
      </c>
      <c r="J225" t="s">
        <v>1193</v>
      </c>
      <c r="K225" s="2">
        <v>45661</v>
      </c>
      <c r="L225" s="2" t="str">
        <f t="shared" si="6"/>
        <v>January</v>
      </c>
      <c r="M225">
        <v>2</v>
      </c>
      <c r="N225">
        <v>110000</v>
      </c>
    </row>
    <row r="226" spans="1:14" x14ac:dyDescent="0.3">
      <c r="A226" t="s">
        <v>236</v>
      </c>
      <c r="B226" t="s">
        <v>736</v>
      </c>
      <c r="C226" t="s">
        <v>1128</v>
      </c>
      <c r="D226">
        <v>46</v>
      </c>
      <c r="E226" t="str">
        <f t="shared" si="7"/>
        <v>Adult</v>
      </c>
      <c r="F226" t="s">
        <v>1159</v>
      </c>
      <c r="G226" t="s">
        <v>1162</v>
      </c>
      <c r="H226" t="s">
        <v>1181</v>
      </c>
      <c r="I226" t="s">
        <v>1189</v>
      </c>
      <c r="J226" t="s">
        <v>1194</v>
      </c>
      <c r="K226" s="2">
        <v>45767</v>
      </c>
      <c r="L226" s="2" t="str">
        <f t="shared" si="6"/>
        <v>April</v>
      </c>
      <c r="M226">
        <v>4</v>
      </c>
      <c r="N226">
        <v>8000</v>
      </c>
    </row>
    <row r="227" spans="1:14" x14ac:dyDescent="0.3">
      <c r="A227" t="s">
        <v>237</v>
      </c>
      <c r="B227" t="s">
        <v>737</v>
      </c>
      <c r="C227" t="s">
        <v>1110</v>
      </c>
      <c r="D227">
        <v>64</v>
      </c>
      <c r="E227" t="str">
        <f t="shared" si="7"/>
        <v>Senior</v>
      </c>
      <c r="F227" t="s">
        <v>1158</v>
      </c>
      <c r="G227" t="s">
        <v>1171</v>
      </c>
      <c r="H227" t="s">
        <v>1184</v>
      </c>
      <c r="I227" t="s">
        <v>1190</v>
      </c>
      <c r="J227" t="s">
        <v>1192</v>
      </c>
      <c r="K227" s="2">
        <v>45644</v>
      </c>
      <c r="L227" s="2" t="str">
        <f t="shared" si="6"/>
        <v>December</v>
      </c>
      <c r="M227">
        <v>3</v>
      </c>
      <c r="N227">
        <v>45000</v>
      </c>
    </row>
    <row r="228" spans="1:14" x14ac:dyDescent="0.3">
      <c r="A228" t="s">
        <v>238</v>
      </c>
      <c r="B228" t="s">
        <v>738</v>
      </c>
      <c r="C228" t="s">
        <v>1050</v>
      </c>
      <c r="D228">
        <v>47</v>
      </c>
      <c r="E228" t="str">
        <f t="shared" si="7"/>
        <v>Adult</v>
      </c>
      <c r="F228" t="s">
        <v>1159</v>
      </c>
      <c r="G228" t="s">
        <v>1163</v>
      </c>
      <c r="H228" t="s">
        <v>1182</v>
      </c>
      <c r="I228" t="s">
        <v>1188</v>
      </c>
      <c r="J228" t="s">
        <v>1196</v>
      </c>
      <c r="K228" s="2">
        <v>45736</v>
      </c>
      <c r="L228" s="2" t="str">
        <f t="shared" si="6"/>
        <v>March</v>
      </c>
      <c r="M228">
        <v>1</v>
      </c>
      <c r="N228">
        <v>30000</v>
      </c>
    </row>
    <row r="229" spans="1:14" x14ac:dyDescent="0.3">
      <c r="A229" t="s">
        <v>239</v>
      </c>
      <c r="B229" t="s">
        <v>739</v>
      </c>
      <c r="C229" t="s">
        <v>1062</v>
      </c>
      <c r="D229">
        <v>60</v>
      </c>
      <c r="E229" t="str">
        <f t="shared" si="7"/>
        <v>Senior</v>
      </c>
      <c r="F229" t="s">
        <v>1158</v>
      </c>
      <c r="G229" t="s">
        <v>1172</v>
      </c>
      <c r="H229" t="s">
        <v>1185</v>
      </c>
      <c r="I229" t="s">
        <v>1189</v>
      </c>
      <c r="J229" t="s">
        <v>1192</v>
      </c>
      <c r="K229" s="2">
        <v>45877</v>
      </c>
      <c r="L229" s="2" t="str">
        <f t="shared" si="6"/>
        <v>August</v>
      </c>
      <c r="M229">
        <v>1</v>
      </c>
      <c r="N229">
        <v>2000</v>
      </c>
    </row>
    <row r="230" spans="1:14" x14ac:dyDescent="0.3">
      <c r="A230" t="s">
        <v>240</v>
      </c>
      <c r="B230" t="s">
        <v>740</v>
      </c>
      <c r="C230" t="s">
        <v>1061</v>
      </c>
      <c r="D230">
        <v>37</v>
      </c>
      <c r="E230" t="str">
        <f t="shared" si="7"/>
        <v>Adult</v>
      </c>
      <c r="F230" t="s">
        <v>1158</v>
      </c>
      <c r="G230" t="s">
        <v>1173</v>
      </c>
      <c r="H230" t="s">
        <v>1185</v>
      </c>
      <c r="I230" t="s">
        <v>1189</v>
      </c>
      <c r="J230" t="s">
        <v>1195</v>
      </c>
      <c r="K230" s="2">
        <v>45731</v>
      </c>
      <c r="L230" s="2" t="str">
        <f t="shared" si="6"/>
        <v>March</v>
      </c>
      <c r="M230">
        <v>5</v>
      </c>
      <c r="N230">
        <v>10000</v>
      </c>
    </row>
    <row r="231" spans="1:14" x14ac:dyDescent="0.3">
      <c r="A231" t="s">
        <v>241</v>
      </c>
      <c r="B231" t="s">
        <v>741</v>
      </c>
      <c r="C231" t="s">
        <v>1129</v>
      </c>
      <c r="D231">
        <v>20</v>
      </c>
      <c r="E231" t="str">
        <f t="shared" si="7"/>
        <v>Teenager</v>
      </c>
      <c r="F231" t="s">
        <v>1158</v>
      </c>
      <c r="G231" t="s">
        <v>1176</v>
      </c>
      <c r="H231" t="s">
        <v>1179</v>
      </c>
      <c r="I231" t="s">
        <v>1188</v>
      </c>
      <c r="J231" t="s">
        <v>1192</v>
      </c>
      <c r="K231" s="2">
        <v>45877</v>
      </c>
      <c r="L231" s="2" t="str">
        <f t="shared" si="6"/>
        <v>August</v>
      </c>
      <c r="M231">
        <v>2</v>
      </c>
      <c r="N231">
        <v>60000</v>
      </c>
    </row>
    <row r="232" spans="1:14" x14ac:dyDescent="0.3">
      <c r="A232" t="s">
        <v>242</v>
      </c>
      <c r="B232" t="s">
        <v>742</v>
      </c>
      <c r="C232" t="s">
        <v>1022</v>
      </c>
      <c r="D232">
        <v>31</v>
      </c>
      <c r="E232" t="str">
        <f t="shared" si="7"/>
        <v>Adult</v>
      </c>
      <c r="F232" t="s">
        <v>1158</v>
      </c>
      <c r="G232" t="s">
        <v>1174</v>
      </c>
      <c r="H232" t="s">
        <v>1180</v>
      </c>
      <c r="I232" t="s">
        <v>1190</v>
      </c>
      <c r="J232" t="s">
        <v>1195</v>
      </c>
      <c r="K232" s="2">
        <v>45657</v>
      </c>
      <c r="L232" s="2" t="str">
        <f t="shared" si="6"/>
        <v>December</v>
      </c>
      <c r="M232">
        <v>5</v>
      </c>
      <c r="N232">
        <v>75000</v>
      </c>
    </row>
    <row r="233" spans="1:14" x14ac:dyDescent="0.3">
      <c r="A233" t="s">
        <v>243</v>
      </c>
      <c r="B233" t="s">
        <v>743</v>
      </c>
      <c r="C233" t="s">
        <v>1082</v>
      </c>
      <c r="D233">
        <v>36</v>
      </c>
      <c r="E233" t="str">
        <f t="shared" si="7"/>
        <v>Adult</v>
      </c>
      <c r="F233" t="s">
        <v>1158</v>
      </c>
      <c r="G233" t="s">
        <v>1167</v>
      </c>
      <c r="H233" t="s">
        <v>1182</v>
      </c>
      <c r="I233" t="s">
        <v>1187</v>
      </c>
      <c r="J233" t="s">
        <v>1196</v>
      </c>
      <c r="K233" s="2">
        <v>45754</v>
      </c>
      <c r="L233" s="2" t="str">
        <f t="shared" si="6"/>
        <v>April</v>
      </c>
      <c r="M233">
        <v>3</v>
      </c>
      <c r="N233">
        <v>165000</v>
      </c>
    </row>
    <row r="234" spans="1:14" x14ac:dyDescent="0.3">
      <c r="A234" t="s">
        <v>244</v>
      </c>
      <c r="B234" t="s">
        <v>744</v>
      </c>
      <c r="C234" t="s">
        <v>1066</v>
      </c>
      <c r="D234">
        <v>31</v>
      </c>
      <c r="E234" t="str">
        <f t="shared" si="7"/>
        <v>Adult</v>
      </c>
      <c r="F234" t="s">
        <v>1159</v>
      </c>
      <c r="G234" t="s">
        <v>1176</v>
      </c>
      <c r="H234" t="s">
        <v>1179</v>
      </c>
      <c r="I234" t="s">
        <v>1189</v>
      </c>
      <c r="J234" t="s">
        <v>1196</v>
      </c>
      <c r="K234" s="2">
        <v>45913</v>
      </c>
      <c r="L234" s="2" t="str">
        <f t="shared" si="6"/>
        <v>September</v>
      </c>
      <c r="M234">
        <v>4</v>
      </c>
      <c r="N234">
        <v>8000</v>
      </c>
    </row>
    <row r="235" spans="1:14" x14ac:dyDescent="0.3">
      <c r="A235" t="s">
        <v>245</v>
      </c>
      <c r="B235" t="s">
        <v>745</v>
      </c>
      <c r="C235" t="s">
        <v>1060</v>
      </c>
      <c r="D235">
        <v>44</v>
      </c>
      <c r="E235" t="str">
        <f t="shared" si="7"/>
        <v>Adult</v>
      </c>
      <c r="F235" t="s">
        <v>1158</v>
      </c>
      <c r="G235" t="s">
        <v>1168</v>
      </c>
      <c r="H235" t="s">
        <v>1185</v>
      </c>
      <c r="I235" t="s">
        <v>1186</v>
      </c>
      <c r="J235" t="s">
        <v>1194</v>
      </c>
      <c r="K235" s="2">
        <v>45782</v>
      </c>
      <c r="L235" s="2" t="str">
        <f t="shared" si="6"/>
        <v>May</v>
      </c>
      <c r="M235">
        <v>1</v>
      </c>
      <c r="N235">
        <v>2500</v>
      </c>
    </row>
    <row r="236" spans="1:14" x14ac:dyDescent="0.3">
      <c r="A236" t="s">
        <v>246</v>
      </c>
      <c r="B236" t="s">
        <v>746</v>
      </c>
      <c r="C236" t="s">
        <v>1101</v>
      </c>
      <c r="D236">
        <v>61</v>
      </c>
      <c r="E236" t="str">
        <f t="shared" si="7"/>
        <v>Senior</v>
      </c>
      <c r="F236" t="s">
        <v>1158</v>
      </c>
      <c r="G236" t="s">
        <v>1162</v>
      </c>
      <c r="H236" t="s">
        <v>1181</v>
      </c>
      <c r="I236" t="s">
        <v>1186</v>
      </c>
      <c r="J236" t="s">
        <v>1196</v>
      </c>
      <c r="K236" s="2">
        <v>45658</v>
      </c>
      <c r="L236" s="2" t="str">
        <f t="shared" si="6"/>
        <v>January</v>
      </c>
      <c r="M236">
        <v>4</v>
      </c>
      <c r="N236">
        <v>10000</v>
      </c>
    </row>
    <row r="237" spans="1:14" x14ac:dyDescent="0.3">
      <c r="A237" t="s">
        <v>247</v>
      </c>
      <c r="B237" t="s">
        <v>747</v>
      </c>
      <c r="C237" t="s">
        <v>1021</v>
      </c>
      <c r="D237">
        <v>54</v>
      </c>
      <c r="E237" t="str">
        <f t="shared" si="7"/>
        <v>Senior</v>
      </c>
      <c r="F237" t="s">
        <v>1159</v>
      </c>
      <c r="G237" t="s">
        <v>1178</v>
      </c>
      <c r="H237" t="s">
        <v>1180</v>
      </c>
      <c r="I237" t="s">
        <v>1191</v>
      </c>
      <c r="J237" t="s">
        <v>1196</v>
      </c>
      <c r="K237" s="2">
        <v>45945</v>
      </c>
      <c r="L237" s="2" t="str">
        <f t="shared" si="6"/>
        <v>October</v>
      </c>
      <c r="M237">
        <v>5</v>
      </c>
      <c r="N237">
        <v>30000</v>
      </c>
    </row>
    <row r="238" spans="1:14" x14ac:dyDescent="0.3">
      <c r="A238" t="s">
        <v>248</v>
      </c>
      <c r="B238" t="s">
        <v>748</v>
      </c>
      <c r="C238" t="s">
        <v>1087</v>
      </c>
      <c r="D238">
        <v>23</v>
      </c>
      <c r="E238" t="str">
        <f t="shared" si="7"/>
        <v>Teenager</v>
      </c>
      <c r="F238" t="s">
        <v>1158</v>
      </c>
      <c r="G238" t="s">
        <v>1162</v>
      </c>
      <c r="H238" t="s">
        <v>1181</v>
      </c>
      <c r="I238" t="s">
        <v>1186</v>
      </c>
      <c r="J238" t="s">
        <v>1192</v>
      </c>
      <c r="K238" s="2">
        <v>45667</v>
      </c>
      <c r="L238" s="2" t="str">
        <f t="shared" si="6"/>
        <v>January</v>
      </c>
      <c r="M238">
        <v>4</v>
      </c>
      <c r="N238">
        <v>10000</v>
      </c>
    </row>
    <row r="239" spans="1:14" x14ac:dyDescent="0.3">
      <c r="A239" t="s">
        <v>249</v>
      </c>
      <c r="B239" t="s">
        <v>749</v>
      </c>
      <c r="C239" t="s">
        <v>1070</v>
      </c>
      <c r="D239">
        <v>28</v>
      </c>
      <c r="E239" t="str">
        <f t="shared" si="7"/>
        <v>Teenager</v>
      </c>
      <c r="F239" t="s">
        <v>1159</v>
      </c>
      <c r="G239" t="s">
        <v>1161</v>
      </c>
      <c r="H239" t="s">
        <v>1180</v>
      </c>
      <c r="I239" t="s">
        <v>1191</v>
      </c>
      <c r="J239" t="s">
        <v>1194</v>
      </c>
      <c r="K239" s="2">
        <v>45628</v>
      </c>
      <c r="L239" s="2" t="str">
        <f t="shared" si="6"/>
        <v>December</v>
      </c>
      <c r="M239">
        <v>3</v>
      </c>
      <c r="N239">
        <v>18000</v>
      </c>
    </row>
    <row r="240" spans="1:14" x14ac:dyDescent="0.3">
      <c r="A240" t="s">
        <v>250</v>
      </c>
      <c r="B240" t="s">
        <v>750</v>
      </c>
      <c r="C240" t="s">
        <v>1105</v>
      </c>
      <c r="D240">
        <v>53</v>
      </c>
      <c r="E240" t="str">
        <f t="shared" si="7"/>
        <v>Senior</v>
      </c>
      <c r="F240" t="s">
        <v>1158</v>
      </c>
      <c r="G240" t="s">
        <v>1169</v>
      </c>
      <c r="H240" t="s">
        <v>1182</v>
      </c>
      <c r="I240" t="s">
        <v>1186</v>
      </c>
      <c r="J240" t="s">
        <v>1193</v>
      </c>
      <c r="K240" s="2">
        <v>45893</v>
      </c>
      <c r="L240" s="2" t="str">
        <f t="shared" si="6"/>
        <v>August</v>
      </c>
      <c r="M240">
        <v>2</v>
      </c>
      <c r="N240">
        <v>5000</v>
      </c>
    </row>
    <row r="241" spans="1:14" x14ac:dyDescent="0.3">
      <c r="A241" t="s">
        <v>251</v>
      </c>
      <c r="B241" t="s">
        <v>751</v>
      </c>
      <c r="C241" t="s">
        <v>1026</v>
      </c>
      <c r="D241">
        <v>40</v>
      </c>
      <c r="E241" t="str">
        <f t="shared" si="7"/>
        <v>Adult</v>
      </c>
      <c r="F241" t="s">
        <v>1159</v>
      </c>
      <c r="G241" t="s">
        <v>1169</v>
      </c>
      <c r="H241" t="s">
        <v>1182</v>
      </c>
      <c r="I241" t="s">
        <v>1191</v>
      </c>
      <c r="J241" t="s">
        <v>1195</v>
      </c>
      <c r="K241" s="2">
        <v>45910</v>
      </c>
      <c r="L241" s="2" t="str">
        <f t="shared" si="6"/>
        <v>September</v>
      </c>
      <c r="M241">
        <v>1</v>
      </c>
      <c r="N241">
        <v>6000</v>
      </c>
    </row>
    <row r="242" spans="1:14" x14ac:dyDescent="0.3">
      <c r="A242" t="s">
        <v>252</v>
      </c>
      <c r="B242" t="s">
        <v>752</v>
      </c>
      <c r="C242" t="s">
        <v>1048</v>
      </c>
      <c r="D242">
        <v>32</v>
      </c>
      <c r="E242" t="str">
        <f t="shared" si="7"/>
        <v>Adult</v>
      </c>
      <c r="F242" t="s">
        <v>1159</v>
      </c>
      <c r="G242" t="s">
        <v>1171</v>
      </c>
      <c r="H242" t="s">
        <v>1184</v>
      </c>
      <c r="I242" t="s">
        <v>1187</v>
      </c>
      <c r="J242" t="s">
        <v>1194</v>
      </c>
      <c r="K242" s="2">
        <v>45761</v>
      </c>
      <c r="L242" s="2" t="str">
        <f t="shared" si="6"/>
        <v>April</v>
      </c>
      <c r="M242">
        <v>2</v>
      </c>
      <c r="N242">
        <v>110000</v>
      </c>
    </row>
    <row r="243" spans="1:14" x14ac:dyDescent="0.3">
      <c r="A243" t="s">
        <v>253</v>
      </c>
      <c r="B243" t="s">
        <v>753</v>
      </c>
      <c r="C243" t="s">
        <v>1094</v>
      </c>
      <c r="D243">
        <v>28</v>
      </c>
      <c r="E243" t="str">
        <f t="shared" si="7"/>
        <v>Teenager</v>
      </c>
      <c r="F243" t="s">
        <v>1159</v>
      </c>
      <c r="G243" t="s">
        <v>1168</v>
      </c>
      <c r="H243" t="s">
        <v>1185</v>
      </c>
      <c r="I243" t="s">
        <v>1190</v>
      </c>
      <c r="J243" t="s">
        <v>1194</v>
      </c>
      <c r="K243" s="2">
        <v>45634</v>
      </c>
      <c r="L243" s="2" t="str">
        <f t="shared" si="6"/>
        <v>December</v>
      </c>
      <c r="M243">
        <v>2</v>
      </c>
      <c r="N243">
        <v>30000</v>
      </c>
    </row>
    <row r="244" spans="1:14" x14ac:dyDescent="0.3">
      <c r="A244" t="s">
        <v>254</v>
      </c>
      <c r="B244" t="s">
        <v>754</v>
      </c>
      <c r="C244" t="s">
        <v>1034</v>
      </c>
      <c r="D244">
        <v>32</v>
      </c>
      <c r="E244" t="str">
        <f t="shared" si="7"/>
        <v>Adult</v>
      </c>
      <c r="F244" t="s">
        <v>1158</v>
      </c>
      <c r="G244" t="s">
        <v>1164</v>
      </c>
      <c r="H244" t="s">
        <v>1183</v>
      </c>
      <c r="I244" t="s">
        <v>1189</v>
      </c>
      <c r="J244" t="s">
        <v>1195</v>
      </c>
      <c r="K244" s="2">
        <v>45873</v>
      </c>
      <c r="L244" s="2" t="str">
        <f t="shared" si="6"/>
        <v>August</v>
      </c>
      <c r="M244">
        <v>2</v>
      </c>
      <c r="N244">
        <v>4000</v>
      </c>
    </row>
    <row r="245" spans="1:14" x14ac:dyDescent="0.3">
      <c r="A245" t="s">
        <v>255</v>
      </c>
      <c r="B245" t="s">
        <v>755</v>
      </c>
      <c r="C245" t="s">
        <v>1119</v>
      </c>
      <c r="D245">
        <v>36</v>
      </c>
      <c r="E245" t="str">
        <f t="shared" si="7"/>
        <v>Adult</v>
      </c>
      <c r="F245" t="s">
        <v>1159</v>
      </c>
      <c r="G245" t="s">
        <v>1161</v>
      </c>
      <c r="H245" t="s">
        <v>1180</v>
      </c>
      <c r="I245" t="s">
        <v>1189</v>
      </c>
      <c r="J245" t="s">
        <v>1192</v>
      </c>
      <c r="K245" s="2">
        <v>45741</v>
      </c>
      <c r="L245" s="2" t="str">
        <f t="shared" si="6"/>
        <v>March</v>
      </c>
      <c r="M245">
        <v>1</v>
      </c>
      <c r="N245">
        <v>2000</v>
      </c>
    </row>
    <row r="246" spans="1:14" x14ac:dyDescent="0.3">
      <c r="A246" t="s">
        <v>256</v>
      </c>
      <c r="B246" t="s">
        <v>756</v>
      </c>
      <c r="C246" t="s">
        <v>1130</v>
      </c>
      <c r="D246">
        <v>64</v>
      </c>
      <c r="E246" t="str">
        <f t="shared" si="7"/>
        <v>Senior</v>
      </c>
      <c r="F246" t="s">
        <v>1159</v>
      </c>
      <c r="G246" t="s">
        <v>1166</v>
      </c>
      <c r="H246" t="s">
        <v>1184</v>
      </c>
      <c r="I246" t="s">
        <v>1188</v>
      </c>
      <c r="J246" t="s">
        <v>1194</v>
      </c>
      <c r="K246" s="2">
        <v>45663</v>
      </c>
      <c r="L246" s="2" t="str">
        <f t="shared" si="6"/>
        <v>January</v>
      </c>
      <c r="M246">
        <v>1</v>
      </c>
      <c r="N246">
        <v>30000</v>
      </c>
    </row>
    <row r="247" spans="1:14" x14ac:dyDescent="0.3">
      <c r="A247" t="s">
        <v>257</v>
      </c>
      <c r="B247" t="s">
        <v>757</v>
      </c>
      <c r="C247" t="s">
        <v>1131</v>
      </c>
      <c r="D247">
        <v>45</v>
      </c>
      <c r="E247" t="str">
        <f t="shared" si="7"/>
        <v>Adult</v>
      </c>
      <c r="F247" t="s">
        <v>1158</v>
      </c>
      <c r="G247" t="s">
        <v>1168</v>
      </c>
      <c r="H247" t="s">
        <v>1185</v>
      </c>
      <c r="I247" t="s">
        <v>1187</v>
      </c>
      <c r="J247" t="s">
        <v>1196</v>
      </c>
      <c r="K247" s="2">
        <v>45588</v>
      </c>
      <c r="L247" s="2" t="str">
        <f t="shared" si="6"/>
        <v>October</v>
      </c>
      <c r="M247">
        <v>5</v>
      </c>
      <c r="N247">
        <v>275000</v>
      </c>
    </row>
    <row r="248" spans="1:14" x14ac:dyDescent="0.3">
      <c r="A248" t="s">
        <v>258</v>
      </c>
      <c r="B248" t="s">
        <v>758</v>
      </c>
      <c r="C248" t="s">
        <v>1117</v>
      </c>
      <c r="D248">
        <v>64</v>
      </c>
      <c r="E248" t="str">
        <f t="shared" si="7"/>
        <v>Senior</v>
      </c>
      <c r="F248" t="s">
        <v>1159</v>
      </c>
      <c r="G248" t="s">
        <v>1174</v>
      </c>
      <c r="H248" t="s">
        <v>1180</v>
      </c>
      <c r="I248" t="s">
        <v>1186</v>
      </c>
      <c r="J248" t="s">
        <v>1194</v>
      </c>
      <c r="K248" s="2">
        <v>45705</v>
      </c>
      <c r="L248" s="2" t="str">
        <f t="shared" si="6"/>
        <v>February</v>
      </c>
      <c r="M248">
        <v>5</v>
      </c>
      <c r="N248">
        <v>12500</v>
      </c>
    </row>
    <row r="249" spans="1:14" x14ac:dyDescent="0.3">
      <c r="A249" t="s">
        <v>259</v>
      </c>
      <c r="B249" t="s">
        <v>759</v>
      </c>
      <c r="C249" t="s">
        <v>1132</v>
      </c>
      <c r="D249">
        <v>65</v>
      </c>
      <c r="E249" t="str">
        <f t="shared" si="7"/>
        <v>Senior</v>
      </c>
      <c r="F249" t="s">
        <v>1158</v>
      </c>
      <c r="G249" t="s">
        <v>1172</v>
      </c>
      <c r="H249" t="s">
        <v>1185</v>
      </c>
      <c r="I249" t="s">
        <v>1187</v>
      </c>
      <c r="J249" t="s">
        <v>1192</v>
      </c>
      <c r="K249" s="2">
        <v>45677</v>
      </c>
      <c r="L249" s="2" t="str">
        <f t="shared" si="6"/>
        <v>January</v>
      </c>
      <c r="M249">
        <v>5</v>
      </c>
      <c r="N249">
        <v>275000</v>
      </c>
    </row>
    <row r="250" spans="1:14" x14ac:dyDescent="0.3">
      <c r="A250" t="s">
        <v>260</v>
      </c>
      <c r="B250" t="s">
        <v>760</v>
      </c>
      <c r="C250" t="s">
        <v>1028</v>
      </c>
      <c r="D250">
        <v>49</v>
      </c>
      <c r="E250" t="str">
        <f t="shared" si="7"/>
        <v>Adult</v>
      </c>
      <c r="F250" t="s">
        <v>1159</v>
      </c>
      <c r="G250" t="s">
        <v>1160</v>
      </c>
      <c r="H250" t="s">
        <v>1179</v>
      </c>
      <c r="I250" t="s">
        <v>1187</v>
      </c>
      <c r="J250" t="s">
        <v>1194</v>
      </c>
      <c r="K250" s="2">
        <v>45737</v>
      </c>
      <c r="L250" s="2" t="str">
        <f t="shared" si="6"/>
        <v>March</v>
      </c>
      <c r="M250">
        <v>1</v>
      </c>
      <c r="N250">
        <v>55000</v>
      </c>
    </row>
    <row r="251" spans="1:14" x14ac:dyDescent="0.3">
      <c r="A251" t="s">
        <v>261</v>
      </c>
      <c r="B251" t="s">
        <v>761</v>
      </c>
      <c r="C251" t="s">
        <v>1133</v>
      </c>
      <c r="D251">
        <v>43</v>
      </c>
      <c r="E251" t="str">
        <f t="shared" si="7"/>
        <v>Adult</v>
      </c>
      <c r="F251" t="s">
        <v>1158</v>
      </c>
      <c r="G251" t="s">
        <v>1175</v>
      </c>
      <c r="H251" t="s">
        <v>1183</v>
      </c>
      <c r="I251" t="s">
        <v>1191</v>
      </c>
      <c r="J251" t="s">
        <v>1193</v>
      </c>
      <c r="K251" s="2">
        <v>45803</v>
      </c>
      <c r="L251" s="2" t="str">
        <f t="shared" si="6"/>
        <v>May</v>
      </c>
      <c r="M251">
        <v>5</v>
      </c>
      <c r="N251">
        <v>30000</v>
      </c>
    </row>
    <row r="252" spans="1:14" x14ac:dyDescent="0.3">
      <c r="A252" t="s">
        <v>262</v>
      </c>
      <c r="B252" t="s">
        <v>762</v>
      </c>
      <c r="C252" t="s">
        <v>1134</v>
      </c>
      <c r="D252">
        <v>42</v>
      </c>
      <c r="E252" t="str">
        <f t="shared" si="7"/>
        <v>Adult</v>
      </c>
      <c r="F252" t="s">
        <v>1159</v>
      </c>
      <c r="G252" t="s">
        <v>1163</v>
      </c>
      <c r="H252" t="s">
        <v>1182</v>
      </c>
      <c r="I252" t="s">
        <v>1189</v>
      </c>
      <c r="J252" t="s">
        <v>1193</v>
      </c>
      <c r="K252" s="2">
        <v>45724</v>
      </c>
      <c r="L252" s="2" t="str">
        <f t="shared" si="6"/>
        <v>March</v>
      </c>
      <c r="M252">
        <v>3</v>
      </c>
      <c r="N252">
        <v>6000</v>
      </c>
    </row>
    <row r="253" spans="1:14" x14ac:dyDescent="0.3">
      <c r="A253" t="s">
        <v>263</v>
      </c>
      <c r="B253" t="s">
        <v>763</v>
      </c>
      <c r="C253" t="s">
        <v>1024</v>
      </c>
      <c r="D253">
        <v>48</v>
      </c>
      <c r="E253" t="str">
        <f t="shared" si="7"/>
        <v>Adult</v>
      </c>
      <c r="F253" t="s">
        <v>1158</v>
      </c>
      <c r="G253" t="s">
        <v>1160</v>
      </c>
      <c r="H253" t="s">
        <v>1179</v>
      </c>
      <c r="I253" t="s">
        <v>1189</v>
      </c>
      <c r="J253" t="s">
        <v>1193</v>
      </c>
      <c r="K253" s="2">
        <v>45661</v>
      </c>
      <c r="L253" s="2" t="str">
        <f t="shared" si="6"/>
        <v>January</v>
      </c>
      <c r="M253">
        <v>5</v>
      </c>
      <c r="N253">
        <v>10000</v>
      </c>
    </row>
    <row r="254" spans="1:14" x14ac:dyDescent="0.3">
      <c r="A254" t="s">
        <v>264</v>
      </c>
      <c r="B254" t="s">
        <v>764</v>
      </c>
      <c r="C254" t="s">
        <v>1114</v>
      </c>
      <c r="D254">
        <v>38</v>
      </c>
      <c r="E254" t="str">
        <f t="shared" si="7"/>
        <v>Adult</v>
      </c>
      <c r="F254" t="s">
        <v>1159</v>
      </c>
      <c r="G254" t="s">
        <v>1174</v>
      </c>
      <c r="H254" t="s">
        <v>1180</v>
      </c>
      <c r="I254" t="s">
        <v>1189</v>
      </c>
      <c r="J254" t="s">
        <v>1195</v>
      </c>
      <c r="K254" s="2">
        <v>45698</v>
      </c>
      <c r="L254" s="2" t="str">
        <f t="shared" si="6"/>
        <v>February</v>
      </c>
      <c r="M254">
        <v>2</v>
      </c>
      <c r="N254">
        <v>4000</v>
      </c>
    </row>
    <row r="255" spans="1:14" x14ac:dyDescent="0.3">
      <c r="A255" t="s">
        <v>265</v>
      </c>
      <c r="B255" t="s">
        <v>765</v>
      </c>
      <c r="C255" t="s">
        <v>1044</v>
      </c>
      <c r="D255">
        <v>31</v>
      </c>
      <c r="E255" t="str">
        <f t="shared" si="7"/>
        <v>Adult</v>
      </c>
      <c r="F255" t="s">
        <v>1159</v>
      </c>
      <c r="G255" t="s">
        <v>1165</v>
      </c>
      <c r="H255" t="s">
        <v>1179</v>
      </c>
      <c r="I255" t="s">
        <v>1186</v>
      </c>
      <c r="J255" t="s">
        <v>1192</v>
      </c>
      <c r="K255" s="2">
        <v>45851</v>
      </c>
      <c r="L255" s="2" t="str">
        <f t="shared" si="6"/>
        <v>July</v>
      </c>
      <c r="M255">
        <v>5</v>
      </c>
      <c r="N255">
        <v>12500</v>
      </c>
    </row>
    <row r="256" spans="1:14" x14ac:dyDescent="0.3">
      <c r="A256" t="s">
        <v>266</v>
      </c>
      <c r="B256" t="s">
        <v>766</v>
      </c>
      <c r="C256" t="s">
        <v>1122</v>
      </c>
      <c r="D256">
        <v>50</v>
      </c>
      <c r="E256" t="str">
        <f t="shared" si="7"/>
        <v>Senior</v>
      </c>
      <c r="F256" t="s">
        <v>1158</v>
      </c>
      <c r="G256" t="s">
        <v>1170</v>
      </c>
      <c r="H256" t="s">
        <v>1183</v>
      </c>
      <c r="I256" t="s">
        <v>1186</v>
      </c>
      <c r="J256" t="s">
        <v>1194</v>
      </c>
      <c r="K256" s="2">
        <v>45845</v>
      </c>
      <c r="L256" s="2" t="str">
        <f t="shared" si="6"/>
        <v>July</v>
      </c>
      <c r="M256">
        <v>4</v>
      </c>
      <c r="N256">
        <v>10000</v>
      </c>
    </row>
    <row r="257" spans="1:14" x14ac:dyDescent="0.3">
      <c r="A257" t="s">
        <v>267</v>
      </c>
      <c r="B257" t="s">
        <v>767</v>
      </c>
      <c r="C257" t="s">
        <v>1097</v>
      </c>
      <c r="D257">
        <v>44</v>
      </c>
      <c r="E257" t="str">
        <f t="shared" si="7"/>
        <v>Adult</v>
      </c>
      <c r="F257" t="s">
        <v>1158</v>
      </c>
      <c r="G257" t="s">
        <v>1163</v>
      </c>
      <c r="H257" t="s">
        <v>1182</v>
      </c>
      <c r="I257" t="s">
        <v>1188</v>
      </c>
      <c r="J257" t="s">
        <v>1196</v>
      </c>
      <c r="K257" s="2">
        <v>45594</v>
      </c>
      <c r="L257" s="2" t="str">
        <f t="shared" si="6"/>
        <v>October</v>
      </c>
      <c r="M257">
        <v>1</v>
      </c>
      <c r="N257">
        <v>30000</v>
      </c>
    </row>
    <row r="258" spans="1:14" x14ac:dyDescent="0.3">
      <c r="A258" t="s">
        <v>268</v>
      </c>
      <c r="B258" t="s">
        <v>768</v>
      </c>
      <c r="C258" t="s">
        <v>1067</v>
      </c>
      <c r="D258">
        <v>18</v>
      </c>
      <c r="E258" t="str">
        <f t="shared" si="7"/>
        <v>Teenager</v>
      </c>
      <c r="F258" t="s">
        <v>1159</v>
      </c>
      <c r="G258" t="s">
        <v>1164</v>
      </c>
      <c r="H258" t="s">
        <v>1183</v>
      </c>
      <c r="I258" t="s">
        <v>1186</v>
      </c>
      <c r="J258" t="s">
        <v>1193</v>
      </c>
      <c r="K258" s="2">
        <v>45790</v>
      </c>
      <c r="L258" s="2" t="str">
        <f t="shared" si="6"/>
        <v>May</v>
      </c>
      <c r="M258">
        <v>2</v>
      </c>
      <c r="N258">
        <v>5000</v>
      </c>
    </row>
    <row r="259" spans="1:14" x14ac:dyDescent="0.3">
      <c r="A259" t="s">
        <v>269</v>
      </c>
      <c r="B259" t="s">
        <v>769</v>
      </c>
      <c r="C259" t="s">
        <v>1132</v>
      </c>
      <c r="D259">
        <v>57</v>
      </c>
      <c r="E259" t="str">
        <f t="shared" si="7"/>
        <v>Senior</v>
      </c>
      <c r="F259" t="s">
        <v>1159</v>
      </c>
      <c r="G259" t="s">
        <v>1162</v>
      </c>
      <c r="H259" t="s">
        <v>1181</v>
      </c>
      <c r="I259" t="s">
        <v>1186</v>
      </c>
      <c r="J259" t="s">
        <v>1194</v>
      </c>
      <c r="K259" s="2">
        <v>45937</v>
      </c>
      <c r="L259" s="2" t="str">
        <f t="shared" ref="L259:L322" si="8">TEXT(K259,"mmmm")</f>
        <v>October</v>
      </c>
      <c r="M259">
        <v>3</v>
      </c>
      <c r="N259">
        <v>7500</v>
      </c>
    </row>
    <row r="260" spans="1:14" x14ac:dyDescent="0.3">
      <c r="A260" t="s">
        <v>270</v>
      </c>
      <c r="B260" t="s">
        <v>770</v>
      </c>
      <c r="C260" t="s">
        <v>1014</v>
      </c>
      <c r="D260">
        <v>30</v>
      </c>
      <c r="E260" t="str">
        <f t="shared" ref="E260:E323" si="9">IF(D260&gt;=50,"Senior", IF(D260&gt;=30,"Adult", "Teenager"))</f>
        <v>Adult</v>
      </c>
      <c r="F260" t="s">
        <v>1158</v>
      </c>
      <c r="G260" t="s">
        <v>1161</v>
      </c>
      <c r="H260" t="s">
        <v>1180</v>
      </c>
      <c r="I260" t="s">
        <v>1186</v>
      </c>
      <c r="J260" t="s">
        <v>1192</v>
      </c>
      <c r="K260" s="2">
        <v>45753</v>
      </c>
      <c r="L260" s="2" t="str">
        <f t="shared" si="8"/>
        <v>April</v>
      </c>
      <c r="M260">
        <v>1</v>
      </c>
      <c r="N260">
        <v>2500</v>
      </c>
    </row>
    <row r="261" spans="1:14" x14ac:dyDescent="0.3">
      <c r="A261" t="s">
        <v>271</v>
      </c>
      <c r="B261" t="s">
        <v>771</v>
      </c>
      <c r="C261" t="s">
        <v>1135</v>
      </c>
      <c r="D261">
        <v>30</v>
      </c>
      <c r="E261" t="str">
        <f t="shared" si="9"/>
        <v>Adult</v>
      </c>
      <c r="F261" t="s">
        <v>1159</v>
      </c>
      <c r="G261" t="s">
        <v>1164</v>
      </c>
      <c r="H261" t="s">
        <v>1183</v>
      </c>
      <c r="I261" t="s">
        <v>1187</v>
      </c>
      <c r="J261" t="s">
        <v>1196</v>
      </c>
      <c r="K261" s="2">
        <v>45886</v>
      </c>
      <c r="L261" s="2" t="str">
        <f t="shared" si="8"/>
        <v>August</v>
      </c>
      <c r="M261">
        <v>4</v>
      </c>
      <c r="N261">
        <v>220000</v>
      </c>
    </row>
    <row r="262" spans="1:14" x14ac:dyDescent="0.3">
      <c r="A262" t="s">
        <v>272</v>
      </c>
      <c r="B262" t="s">
        <v>772</v>
      </c>
      <c r="C262" t="s">
        <v>1044</v>
      </c>
      <c r="D262">
        <v>47</v>
      </c>
      <c r="E262" t="str">
        <f t="shared" si="9"/>
        <v>Adult</v>
      </c>
      <c r="F262" t="s">
        <v>1159</v>
      </c>
      <c r="G262" t="s">
        <v>1170</v>
      </c>
      <c r="H262" t="s">
        <v>1183</v>
      </c>
      <c r="I262" t="s">
        <v>1188</v>
      </c>
      <c r="J262" t="s">
        <v>1193</v>
      </c>
      <c r="K262" s="2">
        <v>45824</v>
      </c>
      <c r="L262" s="2" t="str">
        <f t="shared" si="8"/>
        <v>June</v>
      </c>
      <c r="M262">
        <v>2</v>
      </c>
      <c r="N262">
        <v>60000</v>
      </c>
    </row>
    <row r="263" spans="1:14" x14ac:dyDescent="0.3">
      <c r="A263" t="s">
        <v>273</v>
      </c>
      <c r="B263" t="s">
        <v>773</v>
      </c>
      <c r="C263" t="s">
        <v>1105</v>
      </c>
      <c r="D263">
        <v>32</v>
      </c>
      <c r="E263" t="str">
        <f t="shared" si="9"/>
        <v>Adult</v>
      </c>
      <c r="F263" t="s">
        <v>1159</v>
      </c>
      <c r="G263" t="s">
        <v>1175</v>
      </c>
      <c r="H263" t="s">
        <v>1183</v>
      </c>
      <c r="I263" t="s">
        <v>1188</v>
      </c>
      <c r="J263" t="s">
        <v>1193</v>
      </c>
      <c r="K263" s="2">
        <v>45664</v>
      </c>
      <c r="L263" s="2" t="str">
        <f t="shared" si="8"/>
        <v>January</v>
      </c>
      <c r="M263">
        <v>5</v>
      </c>
      <c r="N263">
        <v>150000</v>
      </c>
    </row>
    <row r="264" spans="1:14" x14ac:dyDescent="0.3">
      <c r="A264" t="s">
        <v>274</v>
      </c>
      <c r="B264" t="s">
        <v>774</v>
      </c>
      <c r="C264" t="s">
        <v>1021</v>
      </c>
      <c r="D264">
        <v>51</v>
      </c>
      <c r="E264" t="str">
        <f t="shared" si="9"/>
        <v>Senior</v>
      </c>
      <c r="F264" t="s">
        <v>1158</v>
      </c>
      <c r="G264" t="s">
        <v>1178</v>
      </c>
      <c r="H264" t="s">
        <v>1180</v>
      </c>
      <c r="I264" t="s">
        <v>1188</v>
      </c>
      <c r="J264" t="s">
        <v>1192</v>
      </c>
      <c r="K264" s="2">
        <v>45896</v>
      </c>
      <c r="L264" s="2" t="str">
        <f t="shared" si="8"/>
        <v>August</v>
      </c>
      <c r="M264">
        <v>2</v>
      </c>
      <c r="N264">
        <v>60000</v>
      </c>
    </row>
    <row r="265" spans="1:14" x14ac:dyDescent="0.3">
      <c r="A265" t="s">
        <v>275</v>
      </c>
      <c r="B265" t="s">
        <v>775</v>
      </c>
      <c r="C265" t="s">
        <v>1015</v>
      </c>
      <c r="D265">
        <v>49</v>
      </c>
      <c r="E265" t="str">
        <f t="shared" si="9"/>
        <v>Adult</v>
      </c>
      <c r="F265" t="s">
        <v>1158</v>
      </c>
      <c r="G265" t="s">
        <v>1162</v>
      </c>
      <c r="H265" t="s">
        <v>1181</v>
      </c>
      <c r="I265" t="s">
        <v>1189</v>
      </c>
      <c r="J265" t="s">
        <v>1195</v>
      </c>
      <c r="K265" s="2">
        <v>45796</v>
      </c>
      <c r="L265" s="2" t="str">
        <f t="shared" si="8"/>
        <v>May</v>
      </c>
      <c r="M265">
        <v>5</v>
      </c>
      <c r="N265">
        <v>10000</v>
      </c>
    </row>
    <row r="266" spans="1:14" x14ac:dyDescent="0.3">
      <c r="A266" t="s">
        <v>276</v>
      </c>
      <c r="B266" t="s">
        <v>776</v>
      </c>
      <c r="C266" t="s">
        <v>1091</v>
      </c>
      <c r="D266">
        <v>51</v>
      </c>
      <c r="E266" t="str">
        <f t="shared" si="9"/>
        <v>Senior</v>
      </c>
      <c r="F266" t="s">
        <v>1158</v>
      </c>
      <c r="G266" t="s">
        <v>1172</v>
      </c>
      <c r="H266" t="s">
        <v>1185</v>
      </c>
      <c r="I266" t="s">
        <v>1188</v>
      </c>
      <c r="J266" t="s">
        <v>1196</v>
      </c>
      <c r="K266" s="2">
        <v>45766</v>
      </c>
      <c r="L266" s="2" t="str">
        <f t="shared" si="8"/>
        <v>April</v>
      </c>
      <c r="M266">
        <v>4</v>
      </c>
      <c r="N266">
        <v>120000</v>
      </c>
    </row>
    <row r="267" spans="1:14" x14ac:dyDescent="0.3">
      <c r="A267" t="s">
        <v>277</v>
      </c>
      <c r="B267" t="s">
        <v>777</v>
      </c>
      <c r="C267" t="s">
        <v>1093</v>
      </c>
      <c r="D267">
        <v>53</v>
      </c>
      <c r="E267" t="str">
        <f t="shared" si="9"/>
        <v>Senior</v>
      </c>
      <c r="F267" t="s">
        <v>1158</v>
      </c>
      <c r="G267" t="s">
        <v>1177</v>
      </c>
      <c r="H267" t="s">
        <v>1184</v>
      </c>
      <c r="I267" t="s">
        <v>1187</v>
      </c>
      <c r="J267" t="s">
        <v>1195</v>
      </c>
      <c r="K267" s="2">
        <v>45786</v>
      </c>
      <c r="L267" s="2" t="str">
        <f t="shared" si="8"/>
        <v>May</v>
      </c>
      <c r="M267">
        <v>1</v>
      </c>
      <c r="N267">
        <v>55000</v>
      </c>
    </row>
    <row r="268" spans="1:14" x14ac:dyDescent="0.3">
      <c r="A268" t="s">
        <v>278</v>
      </c>
      <c r="B268" t="s">
        <v>778</v>
      </c>
      <c r="C268" t="s">
        <v>1032</v>
      </c>
      <c r="D268">
        <v>48</v>
      </c>
      <c r="E268" t="str">
        <f t="shared" si="9"/>
        <v>Adult</v>
      </c>
      <c r="F268" t="s">
        <v>1159</v>
      </c>
      <c r="G268" t="s">
        <v>1166</v>
      </c>
      <c r="H268" t="s">
        <v>1184</v>
      </c>
      <c r="I268" t="s">
        <v>1191</v>
      </c>
      <c r="J268" t="s">
        <v>1192</v>
      </c>
      <c r="K268" s="2">
        <v>45763</v>
      </c>
      <c r="L268" s="2" t="str">
        <f t="shared" si="8"/>
        <v>April</v>
      </c>
      <c r="M268">
        <v>2</v>
      </c>
      <c r="N268">
        <v>12000</v>
      </c>
    </row>
    <row r="269" spans="1:14" x14ac:dyDescent="0.3">
      <c r="A269" t="s">
        <v>279</v>
      </c>
      <c r="B269" t="s">
        <v>779</v>
      </c>
      <c r="C269" t="s">
        <v>1136</v>
      </c>
      <c r="D269">
        <v>42</v>
      </c>
      <c r="E269" t="str">
        <f t="shared" si="9"/>
        <v>Adult</v>
      </c>
      <c r="F269" t="s">
        <v>1158</v>
      </c>
      <c r="G269" t="s">
        <v>1174</v>
      </c>
      <c r="H269" t="s">
        <v>1180</v>
      </c>
      <c r="I269" t="s">
        <v>1187</v>
      </c>
      <c r="J269" t="s">
        <v>1195</v>
      </c>
      <c r="K269" s="2">
        <v>45688</v>
      </c>
      <c r="L269" s="2" t="str">
        <f t="shared" si="8"/>
        <v>January</v>
      </c>
      <c r="M269">
        <v>1</v>
      </c>
      <c r="N269">
        <v>55000</v>
      </c>
    </row>
    <row r="270" spans="1:14" x14ac:dyDescent="0.3">
      <c r="A270" t="s">
        <v>280</v>
      </c>
      <c r="B270" t="s">
        <v>780</v>
      </c>
      <c r="C270" t="s">
        <v>1013</v>
      </c>
      <c r="D270">
        <v>59</v>
      </c>
      <c r="E270" t="str">
        <f t="shared" si="9"/>
        <v>Senior</v>
      </c>
      <c r="F270" t="s">
        <v>1159</v>
      </c>
      <c r="G270" t="s">
        <v>1169</v>
      </c>
      <c r="H270" t="s">
        <v>1182</v>
      </c>
      <c r="I270" t="s">
        <v>1189</v>
      </c>
      <c r="J270" t="s">
        <v>1194</v>
      </c>
      <c r="K270" s="2">
        <v>45781</v>
      </c>
      <c r="L270" s="2" t="str">
        <f t="shared" si="8"/>
        <v>May</v>
      </c>
      <c r="M270">
        <v>2</v>
      </c>
      <c r="N270">
        <v>4000</v>
      </c>
    </row>
    <row r="271" spans="1:14" x14ac:dyDescent="0.3">
      <c r="A271" t="s">
        <v>281</v>
      </c>
      <c r="B271" t="s">
        <v>781</v>
      </c>
      <c r="C271" t="s">
        <v>1115</v>
      </c>
      <c r="D271">
        <v>32</v>
      </c>
      <c r="E271" t="str">
        <f t="shared" si="9"/>
        <v>Adult</v>
      </c>
      <c r="F271" t="s">
        <v>1159</v>
      </c>
      <c r="G271" t="s">
        <v>1167</v>
      </c>
      <c r="H271" t="s">
        <v>1182</v>
      </c>
      <c r="I271" t="s">
        <v>1188</v>
      </c>
      <c r="J271" t="s">
        <v>1195</v>
      </c>
      <c r="K271" s="2">
        <v>45755</v>
      </c>
      <c r="L271" s="2" t="str">
        <f t="shared" si="8"/>
        <v>April</v>
      </c>
      <c r="M271">
        <v>2</v>
      </c>
      <c r="N271">
        <v>60000</v>
      </c>
    </row>
    <row r="272" spans="1:14" x14ac:dyDescent="0.3">
      <c r="A272" t="s">
        <v>282</v>
      </c>
      <c r="B272" t="s">
        <v>782</v>
      </c>
      <c r="C272" t="s">
        <v>1050</v>
      </c>
      <c r="D272">
        <v>37</v>
      </c>
      <c r="E272" t="str">
        <f t="shared" si="9"/>
        <v>Adult</v>
      </c>
      <c r="F272" t="s">
        <v>1159</v>
      </c>
      <c r="G272" t="s">
        <v>1178</v>
      </c>
      <c r="H272" t="s">
        <v>1180</v>
      </c>
      <c r="I272" t="s">
        <v>1188</v>
      </c>
      <c r="J272" t="s">
        <v>1192</v>
      </c>
      <c r="K272" s="2">
        <v>45819</v>
      </c>
      <c r="L272" s="2" t="str">
        <f t="shared" si="8"/>
        <v>June</v>
      </c>
      <c r="M272">
        <v>2</v>
      </c>
      <c r="N272">
        <v>60000</v>
      </c>
    </row>
    <row r="273" spans="1:14" x14ac:dyDescent="0.3">
      <c r="A273" t="s">
        <v>283</v>
      </c>
      <c r="B273" t="s">
        <v>783</v>
      </c>
      <c r="C273" t="s">
        <v>1020</v>
      </c>
      <c r="D273">
        <v>52</v>
      </c>
      <c r="E273" t="str">
        <f t="shared" si="9"/>
        <v>Senior</v>
      </c>
      <c r="F273" t="s">
        <v>1158</v>
      </c>
      <c r="G273" t="s">
        <v>1165</v>
      </c>
      <c r="H273" t="s">
        <v>1179</v>
      </c>
      <c r="I273" t="s">
        <v>1190</v>
      </c>
      <c r="J273" t="s">
        <v>1193</v>
      </c>
      <c r="K273" s="2">
        <v>45589</v>
      </c>
      <c r="L273" s="2" t="str">
        <f t="shared" si="8"/>
        <v>October</v>
      </c>
      <c r="M273">
        <v>1</v>
      </c>
      <c r="N273">
        <v>15000</v>
      </c>
    </row>
    <row r="274" spans="1:14" x14ac:dyDescent="0.3">
      <c r="A274" t="s">
        <v>284</v>
      </c>
      <c r="B274" t="s">
        <v>784</v>
      </c>
      <c r="C274" t="s">
        <v>1119</v>
      </c>
      <c r="D274">
        <v>29</v>
      </c>
      <c r="E274" t="str">
        <f t="shared" si="9"/>
        <v>Teenager</v>
      </c>
      <c r="F274" t="s">
        <v>1159</v>
      </c>
      <c r="G274" t="s">
        <v>1162</v>
      </c>
      <c r="H274" t="s">
        <v>1181</v>
      </c>
      <c r="I274" t="s">
        <v>1191</v>
      </c>
      <c r="J274" t="s">
        <v>1194</v>
      </c>
      <c r="K274" s="2">
        <v>45842</v>
      </c>
      <c r="L274" s="2" t="str">
        <f t="shared" si="8"/>
        <v>July</v>
      </c>
      <c r="M274">
        <v>2</v>
      </c>
      <c r="N274">
        <v>12000</v>
      </c>
    </row>
    <row r="275" spans="1:14" x14ac:dyDescent="0.3">
      <c r="A275" t="s">
        <v>285</v>
      </c>
      <c r="B275" t="s">
        <v>785</v>
      </c>
      <c r="C275" t="s">
        <v>1069</v>
      </c>
      <c r="D275">
        <v>22</v>
      </c>
      <c r="E275" t="str">
        <f t="shared" si="9"/>
        <v>Teenager</v>
      </c>
      <c r="F275" t="s">
        <v>1158</v>
      </c>
      <c r="G275" t="s">
        <v>1171</v>
      </c>
      <c r="H275" t="s">
        <v>1184</v>
      </c>
      <c r="I275" t="s">
        <v>1191</v>
      </c>
      <c r="J275" t="s">
        <v>1195</v>
      </c>
      <c r="K275" s="2">
        <v>45777</v>
      </c>
      <c r="L275" s="2" t="str">
        <f t="shared" si="8"/>
        <v>April</v>
      </c>
      <c r="M275">
        <v>3</v>
      </c>
      <c r="N275">
        <v>18000</v>
      </c>
    </row>
    <row r="276" spans="1:14" x14ac:dyDescent="0.3">
      <c r="A276" t="s">
        <v>286</v>
      </c>
      <c r="B276" t="s">
        <v>786</v>
      </c>
      <c r="C276" t="s">
        <v>1133</v>
      </c>
      <c r="D276">
        <v>29</v>
      </c>
      <c r="E276" t="str">
        <f t="shared" si="9"/>
        <v>Teenager</v>
      </c>
      <c r="F276" t="s">
        <v>1159</v>
      </c>
      <c r="G276" t="s">
        <v>1164</v>
      </c>
      <c r="H276" t="s">
        <v>1183</v>
      </c>
      <c r="I276" t="s">
        <v>1187</v>
      </c>
      <c r="J276" t="s">
        <v>1193</v>
      </c>
      <c r="K276" s="2">
        <v>45628</v>
      </c>
      <c r="L276" s="2" t="str">
        <f t="shared" si="8"/>
        <v>December</v>
      </c>
      <c r="M276">
        <v>4</v>
      </c>
      <c r="N276">
        <v>220000</v>
      </c>
    </row>
    <row r="277" spans="1:14" x14ac:dyDescent="0.3">
      <c r="A277" t="s">
        <v>287</v>
      </c>
      <c r="B277" t="s">
        <v>787</v>
      </c>
      <c r="C277" t="s">
        <v>1064</v>
      </c>
      <c r="D277">
        <v>32</v>
      </c>
      <c r="E277" t="str">
        <f t="shared" si="9"/>
        <v>Adult</v>
      </c>
      <c r="F277" t="s">
        <v>1159</v>
      </c>
      <c r="G277" t="s">
        <v>1162</v>
      </c>
      <c r="H277" t="s">
        <v>1181</v>
      </c>
      <c r="I277" t="s">
        <v>1188</v>
      </c>
      <c r="J277" t="s">
        <v>1194</v>
      </c>
      <c r="K277" s="2">
        <v>45695</v>
      </c>
      <c r="L277" s="2" t="str">
        <f t="shared" si="8"/>
        <v>February</v>
      </c>
      <c r="M277">
        <v>2</v>
      </c>
      <c r="N277">
        <v>60000</v>
      </c>
    </row>
    <row r="278" spans="1:14" x14ac:dyDescent="0.3">
      <c r="A278" t="s">
        <v>288</v>
      </c>
      <c r="B278" t="s">
        <v>788</v>
      </c>
      <c r="C278" t="s">
        <v>1023</v>
      </c>
      <c r="D278">
        <v>46</v>
      </c>
      <c r="E278" t="str">
        <f t="shared" si="9"/>
        <v>Adult</v>
      </c>
      <c r="F278" t="s">
        <v>1158</v>
      </c>
      <c r="G278" t="s">
        <v>1168</v>
      </c>
      <c r="H278" t="s">
        <v>1185</v>
      </c>
      <c r="I278" t="s">
        <v>1191</v>
      </c>
      <c r="J278" t="s">
        <v>1194</v>
      </c>
      <c r="K278" s="2">
        <v>45586</v>
      </c>
      <c r="L278" s="2" t="str">
        <f t="shared" si="8"/>
        <v>October</v>
      </c>
      <c r="M278">
        <v>4</v>
      </c>
      <c r="N278">
        <v>24000</v>
      </c>
    </row>
    <row r="279" spans="1:14" x14ac:dyDescent="0.3">
      <c r="A279" t="s">
        <v>289</v>
      </c>
      <c r="B279" t="s">
        <v>789</v>
      </c>
      <c r="C279" t="s">
        <v>1095</v>
      </c>
      <c r="D279">
        <v>37</v>
      </c>
      <c r="E279" t="str">
        <f t="shared" si="9"/>
        <v>Adult</v>
      </c>
      <c r="F279" t="s">
        <v>1158</v>
      </c>
      <c r="G279" t="s">
        <v>1161</v>
      </c>
      <c r="H279" t="s">
        <v>1180</v>
      </c>
      <c r="I279" t="s">
        <v>1190</v>
      </c>
      <c r="J279" t="s">
        <v>1195</v>
      </c>
      <c r="K279" s="2">
        <v>45791</v>
      </c>
      <c r="L279" s="2" t="str">
        <f t="shared" si="8"/>
        <v>May</v>
      </c>
      <c r="M279">
        <v>5</v>
      </c>
      <c r="N279">
        <v>75000</v>
      </c>
    </row>
    <row r="280" spans="1:14" x14ac:dyDescent="0.3">
      <c r="A280" t="s">
        <v>290</v>
      </c>
      <c r="B280" t="s">
        <v>790</v>
      </c>
      <c r="C280" t="s">
        <v>1030</v>
      </c>
      <c r="D280">
        <v>39</v>
      </c>
      <c r="E280" t="str">
        <f t="shared" si="9"/>
        <v>Adult</v>
      </c>
      <c r="F280" t="s">
        <v>1158</v>
      </c>
      <c r="G280" t="s">
        <v>1165</v>
      </c>
      <c r="H280" t="s">
        <v>1179</v>
      </c>
      <c r="I280" t="s">
        <v>1190</v>
      </c>
      <c r="J280" t="s">
        <v>1196</v>
      </c>
      <c r="K280" s="2">
        <v>45858</v>
      </c>
      <c r="L280" s="2" t="str">
        <f t="shared" si="8"/>
        <v>July</v>
      </c>
      <c r="M280">
        <v>3</v>
      </c>
      <c r="N280">
        <v>45000</v>
      </c>
    </row>
    <row r="281" spans="1:14" x14ac:dyDescent="0.3">
      <c r="A281" t="s">
        <v>291</v>
      </c>
      <c r="B281" t="s">
        <v>791</v>
      </c>
      <c r="C281" t="s">
        <v>1137</v>
      </c>
      <c r="D281">
        <v>50</v>
      </c>
      <c r="E281" t="str">
        <f t="shared" si="9"/>
        <v>Senior</v>
      </c>
      <c r="F281" t="s">
        <v>1159</v>
      </c>
      <c r="G281" t="s">
        <v>1162</v>
      </c>
      <c r="H281" t="s">
        <v>1181</v>
      </c>
      <c r="I281" t="s">
        <v>1189</v>
      </c>
      <c r="J281" t="s">
        <v>1194</v>
      </c>
      <c r="K281" s="2">
        <v>45682</v>
      </c>
      <c r="L281" s="2" t="str">
        <f t="shared" si="8"/>
        <v>January</v>
      </c>
      <c r="M281">
        <v>3</v>
      </c>
      <c r="N281">
        <v>6000</v>
      </c>
    </row>
    <row r="282" spans="1:14" x14ac:dyDescent="0.3">
      <c r="A282" t="s">
        <v>292</v>
      </c>
      <c r="B282" t="s">
        <v>792</v>
      </c>
      <c r="C282" t="s">
        <v>1132</v>
      </c>
      <c r="D282">
        <v>42</v>
      </c>
      <c r="E282" t="str">
        <f t="shared" si="9"/>
        <v>Adult</v>
      </c>
      <c r="F282" t="s">
        <v>1158</v>
      </c>
      <c r="G282" t="s">
        <v>1172</v>
      </c>
      <c r="H282" t="s">
        <v>1185</v>
      </c>
      <c r="I282" t="s">
        <v>1186</v>
      </c>
      <c r="J282" t="s">
        <v>1196</v>
      </c>
      <c r="K282" s="2">
        <v>45700</v>
      </c>
      <c r="L282" s="2" t="str">
        <f t="shared" si="8"/>
        <v>February</v>
      </c>
      <c r="M282">
        <v>5</v>
      </c>
      <c r="N282">
        <v>12500</v>
      </c>
    </row>
    <row r="283" spans="1:14" x14ac:dyDescent="0.3">
      <c r="A283" t="s">
        <v>293</v>
      </c>
      <c r="B283" t="s">
        <v>793</v>
      </c>
      <c r="C283" t="s">
        <v>1026</v>
      </c>
      <c r="D283">
        <v>30</v>
      </c>
      <c r="E283" t="str">
        <f t="shared" si="9"/>
        <v>Adult</v>
      </c>
      <c r="F283" t="s">
        <v>1159</v>
      </c>
      <c r="G283" t="s">
        <v>1176</v>
      </c>
      <c r="H283" t="s">
        <v>1179</v>
      </c>
      <c r="I283" t="s">
        <v>1191</v>
      </c>
      <c r="J283" t="s">
        <v>1192</v>
      </c>
      <c r="K283" s="2">
        <v>45754</v>
      </c>
      <c r="L283" s="2" t="str">
        <f t="shared" si="8"/>
        <v>April</v>
      </c>
      <c r="M283">
        <v>5</v>
      </c>
      <c r="N283">
        <v>30000</v>
      </c>
    </row>
    <row r="284" spans="1:14" x14ac:dyDescent="0.3">
      <c r="A284" t="s">
        <v>294</v>
      </c>
      <c r="B284" t="s">
        <v>794</v>
      </c>
      <c r="C284" t="s">
        <v>1038</v>
      </c>
      <c r="D284">
        <v>18</v>
      </c>
      <c r="E284" t="str">
        <f t="shared" si="9"/>
        <v>Teenager</v>
      </c>
      <c r="F284" t="s">
        <v>1159</v>
      </c>
      <c r="G284" t="s">
        <v>1165</v>
      </c>
      <c r="H284" t="s">
        <v>1179</v>
      </c>
      <c r="I284" t="s">
        <v>1190</v>
      </c>
      <c r="J284" t="s">
        <v>1194</v>
      </c>
      <c r="K284" s="2">
        <v>45679</v>
      </c>
      <c r="L284" s="2" t="str">
        <f t="shared" si="8"/>
        <v>January</v>
      </c>
      <c r="M284">
        <v>4</v>
      </c>
      <c r="N284">
        <v>60000</v>
      </c>
    </row>
    <row r="285" spans="1:14" x14ac:dyDescent="0.3">
      <c r="A285" t="s">
        <v>295</v>
      </c>
      <c r="B285" t="s">
        <v>795</v>
      </c>
      <c r="C285" t="s">
        <v>1050</v>
      </c>
      <c r="D285">
        <v>22</v>
      </c>
      <c r="E285" t="str">
        <f t="shared" si="9"/>
        <v>Teenager</v>
      </c>
      <c r="F285" t="s">
        <v>1159</v>
      </c>
      <c r="G285" t="s">
        <v>1160</v>
      </c>
      <c r="H285" t="s">
        <v>1179</v>
      </c>
      <c r="I285" t="s">
        <v>1191</v>
      </c>
      <c r="J285" t="s">
        <v>1194</v>
      </c>
      <c r="K285" s="2">
        <v>45757</v>
      </c>
      <c r="L285" s="2" t="str">
        <f t="shared" si="8"/>
        <v>April</v>
      </c>
      <c r="M285">
        <v>1</v>
      </c>
      <c r="N285">
        <v>6000</v>
      </c>
    </row>
    <row r="286" spans="1:14" x14ac:dyDescent="0.3">
      <c r="A286" t="s">
        <v>296</v>
      </c>
      <c r="B286" t="s">
        <v>796</v>
      </c>
      <c r="C286" t="s">
        <v>1085</v>
      </c>
      <c r="D286">
        <v>64</v>
      </c>
      <c r="E286" t="str">
        <f t="shared" si="9"/>
        <v>Senior</v>
      </c>
      <c r="F286" t="s">
        <v>1159</v>
      </c>
      <c r="G286" t="s">
        <v>1172</v>
      </c>
      <c r="H286" t="s">
        <v>1185</v>
      </c>
      <c r="I286" t="s">
        <v>1187</v>
      </c>
      <c r="J286" t="s">
        <v>1195</v>
      </c>
      <c r="K286" s="2">
        <v>45738</v>
      </c>
      <c r="L286" s="2" t="str">
        <f t="shared" si="8"/>
        <v>March</v>
      </c>
      <c r="M286">
        <v>1</v>
      </c>
      <c r="N286">
        <v>55000</v>
      </c>
    </row>
    <row r="287" spans="1:14" x14ac:dyDescent="0.3">
      <c r="A287" t="s">
        <v>297</v>
      </c>
      <c r="B287" t="s">
        <v>797</v>
      </c>
      <c r="C287" t="s">
        <v>1138</v>
      </c>
      <c r="D287">
        <v>42</v>
      </c>
      <c r="E287" t="str">
        <f t="shared" si="9"/>
        <v>Adult</v>
      </c>
      <c r="F287" t="s">
        <v>1159</v>
      </c>
      <c r="G287" t="s">
        <v>1173</v>
      </c>
      <c r="H287" t="s">
        <v>1185</v>
      </c>
      <c r="I287" t="s">
        <v>1186</v>
      </c>
      <c r="J287" t="s">
        <v>1193</v>
      </c>
      <c r="K287" s="2">
        <v>45942</v>
      </c>
      <c r="L287" s="2" t="str">
        <f t="shared" si="8"/>
        <v>October</v>
      </c>
      <c r="M287">
        <v>2</v>
      </c>
      <c r="N287">
        <v>5000</v>
      </c>
    </row>
    <row r="288" spans="1:14" x14ac:dyDescent="0.3">
      <c r="A288" t="s">
        <v>298</v>
      </c>
      <c r="B288" t="s">
        <v>798</v>
      </c>
      <c r="C288" t="s">
        <v>1139</v>
      </c>
      <c r="D288">
        <v>26</v>
      </c>
      <c r="E288" t="str">
        <f t="shared" si="9"/>
        <v>Teenager</v>
      </c>
      <c r="F288" t="s">
        <v>1159</v>
      </c>
      <c r="G288" t="s">
        <v>1172</v>
      </c>
      <c r="H288" t="s">
        <v>1185</v>
      </c>
      <c r="I288" t="s">
        <v>1189</v>
      </c>
      <c r="J288" t="s">
        <v>1196</v>
      </c>
      <c r="K288" s="2">
        <v>45801</v>
      </c>
      <c r="L288" s="2" t="str">
        <f t="shared" si="8"/>
        <v>May</v>
      </c>
      <c r="M288">
        <v>4</v>
      </c>
      <c r="N288">
        <v>8000</v>
      </c>
    </row>
    <row r="289" spans="1:14" x14ac:dyDescent="0.3">
      <c r="A289" t="s">
        <v>299</v>
      </c>
      <c r="B289" t="s">
        <v>799</v>
      </c>
      <c r="C289" t="s">
        <v>1013</v>
      </c>
      <c r="D289">
        <v>31</v>
      </c>
      <c r="E289" t="str">
        <f t="shared" si="9"/>
        <v>Adult</v>
      </c>
      <c r="F289" t="s">
        <v>1158</v>
      </c>
      <c r="G289" t="s">
        <v>1171</v>
      </c>
      <c r="H289" t="s">
        <v>1184</v>
      </c>
      <c r="I289" t="s">
        <v>1191</v>
      </c>
      <c r="J289" t="s">
        <v>1193</v>
      </c>
      <c r="K289" s="2">
        <v>45753</v>
      </c>
      <c r="L289" s="2" t="str">
        <f t="shared" si="8"/>
        <v>April</v>
      </c>
      <c r="M289">
        <v>3</v>
      </c>
      <c r="N289">
        <v>18000</v>
      </c>
    </row>
    <row r="290" spans="1:14" x14ac:dyDescent="0.3">
      <c r="A290" t="s">
        <v>300</v>
      </c>
      <c r="B290" t="s">
        <v>800</v>
      </c>
      <c r="C290" t="s">
        <v>1072</v>
      </c>
      <c r="D290">
        <v>36</v>
      </c>
      <c r="E290" t="str">
        <f t="shared" si="9"/>
        <v>Adult</v>
      </c>
      <c r="F290" t="s">
        <v>1158</v>
      </c>
      <c r="G290" t="s">
        <v>1167</v>
      </c>
      <c r="H290" t="s">
        <v>1182</v>
      </c>
      <c r="I290" t="s">
        <v>1191</v>
      </c>
      <c r="J290" t="s">
        <v>1192</v>
      </c>
      <c r="K290" s="2">
        <v>45913</v>
      </c>
      <c r="L290" s="2" t="str">
        <f t="shared" si="8"/>
        <v>September</v>
      </c>
      <c r="M290">
        <v>4</v>
      </c>
      <c r="N290">
        <v>24000</v>
      </c>
    </row>
    <row r="291" spans="1:14" x14ac:dyDescent="0.3">
      <c r="A291" t="s">
        <v>301</v>
      </c>
      <c r="B291" t="s">
        <v>801</v>
      </c>
      <c r="C291" t="s">
        <v>1063</v>
      </c>
      <c r="D291">
        <v>49</v>
      </c>
      <c r="E291" t="str">
        <f t="shared" si="9"/>
        <v>Adult</v>
      </c>
      <c r="F291" t="s">
        <v>1159</v>
      </c>
      <c r="G291" t="s">
        <v>1165</v>
      </c>
      <c r="H291" t="s">
        <v>1179</v>
      </c>
      <c r="I291" t="s">
        <v>1186</v>
      </c>
      <c r="J291" t="s">
        <v>1196</v>
      </c>
      <c r="K291" s="2">
        <v>45610</v>
      </c>
      <c r="L291" s="2" t="str">
        <f t="shared" si="8"/>
        <v>November</v>
      </c>
      <c r="M291">
        <v>1</v>
      </c>
      <c r="N291">
        <v>2500</v>
      </c>
    </row>
    <row r="292" spans="1:14" x14ac:dyDescent="0.3">
      <c r="A292" t="s">
        <v>302</v>
      </c>
      <c r="B292" t="s">
        <v>802</v>
      </c>
      <c r="C292" t="s">
        <v>1140</v>
      </c>
      <c r="D292">
        <v>38</v>
      </c>
      <c r="E292" t="str">
        <f t="shared" si="9"/>
        <v>Adult</v>
      </c>
      <c r="F292" t="s">
        <v>1159</v>
      </c>
      <c r="G292" t="s">
        <v>1176</v>
      </c>
      <c r="H292" t="s">
        <v>1179</v>
      </c>
      <c r="I292" t="s">
        <v>1189</v>
      </c>
      <c r="J292" t="s">
        <v>1195</v>
      </c>
      <c r="K292" s="2">
        <v>45603</v>
      </c>
      <c r="L292" s="2" t="str">
        <f t="shared" si="8"/>
        <v>November</v>
      </c>
      <c r="M292">
        <v>5</v>
      </c>
      <c r="N292">
        <v>10000</v>
      </c>
    </row>
    <row r="293" spans="1:14" x14ac:dyDescent="0.3">
      <c r="A293" t="s">
        <v>303</v>
      </c>
      <c r="B293" t="s">
        <v>803</v>
      </c>
      <c r="C293" t="s">
        <v>1026</v>
      </c>
      <c r="D293">
        <v>40</v>
      </c>
      <c r="E293" t="str">
        <f t="shared" si="9"/>
        <v>Adult</v>
      </c>
      <c r="F293" t="s">
        <v>1159</v>
      </c>
      <c r="G293" t="s">
        <v>1160</v>
      </c>
      <c r="H293" t="s">
        <v>1179</v>
      </c>
      <c r="I293" t="s">
        <v>1191</v>
      </c>
      <c r="J293" t="s">
        <v>1194</v>
      </c>
      <c r="K293" s="2">
        <v>45802</v>
      </c>
      <c r="L293" s="2" t="str">
        <f t="shared" si="8"/>
        <v>May</v>
      </c>
      <c r="M293">
        <v>1</v>
      </c>
      <c r="N293">
        <v>6000</v>
      </c>
    </row>
    <row r="294" spans="1:14" x14ac:dyDescent="0.3">
      <c r="A294" t="s">
        <v>304</v>
      </c>
      <c r="B294" t="s">
        <v>804</v>
      </c>
      <c r="C294" t="s">
        <v>1091</v>
      </c>
      <c r="D294">
        <v>24</v>
      </c>
      <c r="E294" t="str">
        <f t="shared" si="9"/>
        <v>Teenager</v>
      </c>
      <c r="F294" t="s">
        <v>1159</v>
      </c>
      <c r="G294" t="s">
        <v>1166</v>
      </c>
      <c r="H294" t="s">
        <v>1184</v>
      </c>
      <c r="I294" t="s">
        <v>1186</v>
      </c>
      <c r="J294" t="s">
        <v>1195</v>
      </c>
      <c r="K294" s="2">
        <v>45793</v>
      </c>
      <c r="L294" s="2" t="str">
        <f t="shared" si="8"/>
        <v>May</v>
      </c>
      <c r="M294">
        <v>4</v>
      </c>
      <c r="N294">
        <v>10000</v>
      </c>
    </row>
    <row r="295" spans="1:14" x14ac:dyDescent="0.3">
      <c r="A295" t="s">
        <v>305</v>
      </c>
      <c r="B295" t="s">
        <v>805</v>
      </c>
      <c r="C295" t="s">
        <v>1141</v>
      </c>
      <c r="D295">
        <v>65</v>
      </c>
      <c r="E295" t="str">
        <f t="shared" si="9"/>
        <v>Senior</v>
      </c>
      <c r="F295" t="s">
        <v>1158</v>
      </c>
      <c r="G295" t="s">
        <v>1163</v>
      </c>
      <c r="H295" t="s">
        <v>1182</v>
      </c>
      <c r="I295" t="s">
        <v>1188</v>
      </c>
      <c r="J295" t="s">
        <v>1192</v>
      </c>
      <c r="K295" s="2">
        <v>45803</v>
      </c>
      <c r="L295" s="2" t="str">
        <f t="shared" si="8"/>
        <v>May</v>
      </c>
      <c r="M295">
        <v>3</v>
      </c>
      <c r="N295">
        <v>90000</v>
      </c>
    </row>
    <row r="296" spans="1:14" x14ac:dyDescent="0.3">
      <c r="A296" t="s">
        <v>306</v>
      </c>
      <c r="B296" t="s">
        <v>806</v>
      </c>
      <c r="C296" t="s">
        <v>1076</v>
      </c>
      <c r="D296">
        <v>53</v>
      </c>
      <c r="E296" t="str">
        <f t="shared" si="9"/>
        <v>Senior</v>
      </c>
      <c r="F296" t="s">
        <v>1158</v>
      </c>
      <c r="G296" t="s">
        <v>1178</v>
      </c>
      <c r="H296" t="s">
        <v>1180</v>
      </c>
      <c r="I296" t="s">
        <v>1189</v>
      </c>
      <c r="J296" t="s">
        <v>1196</v>
      </c>
      <c r="K296" s="2">
        <v>45845</v>
      </c>
      <c r="L296" s="2" t="str">
        <f t="shared" si="8"/>
        <v>July</v>
      </c>
      <c r="M296">
        <v>4</v>
      </c>
      <c r="N296">
        <v>8000</v>
      </c>
    </row>
    <row r="297" spans="1:14" x14ac:dyDescent="0.3">
      <c r="A297" t="s">
        <v>307</v>
      </c>
      <c r="B297" t="s">
        <v>807</v>
      </c>
      <c r="C297" t="s">
        <v>1038</v>
      </c>
      <c r="D297">
        <v>45</v>
      </c>
      <c r="E297" t="str">
        <f t="shared" si="9"/>
        <v>Adult</v>
      </c>
      <c r="F297" t="s">
        <v>1158</v>
      </c>
      <c r="G297" t="s">
        <v>1162</v>
      </c>
      <c r="H297" t="s">
        <v>1181</v>
      </c>
      <c r="I297" t="s">
        <v>1186</v>
      </c>
      <c r="J297" t="s">
        <v>1192</v>
      </c>
      <c r="K297" s="2">
        <v>45856</v>
      </c>
      <c r="L297" s="2" t="str">
        <f t="shared" si="8"/>
        <v>July</v>
      </c>
      <c r="M297">
        <v>2</v>
      </c>
      <c r="N297">
        <v>5000</v>
      </c>
    </row>
    <row r="298" spans="1:14" x14ac:dyDescent="0.3">
      <c r="A298" t="s">
        <v>308</v>
      </c>
      <c r="B298" t="s">
        <v>808</v>
      </c>
      <c r="C298" t="s">
        <v>1050</v>
      </c>
      <c r="D298">
        <v>42</v>
      </c>
      <c r="E298" t="str">
        <f t="shared" si="9"/>
        <v>Adult</v>
      </c>
      <c r="F298" t="s">
        <v>1158</v>
      </c>
      <c r="G298" t="s">
        <v>1173</v>
      </c>
      <c r="H298" t="s">
        <v>1185</v>
      </c>
      <c r="I298" t="s">
        <v>1191</v>
      </c>
      <c r="J298" t="s">
        <v>1196</v>
      </c>
      <c r="K298" s="2">
        <v>45861</v>
      </c>
      <c r="L298" s="2" t="str">
        <f t="shared" si="8"/>
        <v>July</v>
      </c>
      <c r="M298">
        <v>4</v>
      </c>
      <c r="N298">
        <v>24000</v>
      </c>
    </row>
    <row r="299" spans="1:14" x14ac:dyDescent="0.3">
      <c r="A299" t="s">
        <v>309</v>
      </c>
      <c r="B299" t="s">
        <v>809</v>
      </c>
      <c r="C299" t="s">
        <v>1100</v>
      </c>
      <c r="D299">
        <v>34</v>
      </c>
      <c r="E299" t="str">
        <f t="shared" si="9"/>
        <v>Adult</v>
      </c>
      <c r="F299" t="s">
        <v>1159</v>
      </c>
      <c r="G299" t="s">
        <v>1165</v>
      </c>
      <c r="H299" t="s">
        <v>1179</v>
      </c>
      <c r="I299" t="s">
        <v>1188</v>
      </c>
      <c r="J299" t="s">
        <v>1193</v>
      </c>
      <c r="K299" s="2">
        <v>45839</v>
      </c>
      <c r="L299" s="2" t="str">
        <f t="shared" si="8"/>
        <v>July</v>
      </c>
      <c r="M299">
        <v>5</v>
      </c>
      <c r="N299">
        <v>150000</v>
      </c>
    </row>
    <row r="300" spans="1:14" x14ac:dyDescent="0.3">
      <c r="A300" t="s">
        <v>310</v>
      </c>
      <c r="B300" t="s">
        <v>810</v>
      </c>
      <c r="C300" t="s">
        <v>1142</v>
      </c>
      <c r="D300">
        <v>29</v>
      </c>
      <c r="E300" t="str">
        <f t="shared" si="9"/>
        <v>Teenager</v>
      </c>
      <c r="F300" t="s">
        <v>1158</v>
      </c>
      <c r="G300" t="s">
        <v>1178</v>
      </c>
      <c r="H300" t="s">
        <v>1180</v>
      </c>
      <c r="I300" t="s">
        <v>1188</v>
      </c>
      <c r="J300" t="s">
        <v>1196</v>
      </c>
      <c r="K300" s="2">
        <v>45798</v>
      </c>
      <c r="L300" s="2" t="str">
        <f t="shared" si="8"/>
        <v>May</v>
      </c>
      <c r="M300">
        <v>3</v>
      </c>
      <c r="N300">
        <v>90000</v>
      </c>
    </row>
    <row r="301" spans="1:14" x14ac:dyDescent="0.3">
      <c r="A301" t="s">
        <v>311</v>
      </c>
      <c r="B301" t="s">
        <v>811</v>
      </c>
      <c r="C301" t="s">
        <v>1127</v>
      </c>
      <c r="D301">
        <v>52</v>
      </c>
      <c r="E301" t="str">
        <f t="shared" si="9"/>
        <v>Senior</v>
      </c>
      <c r="F301" t="s">
        <v>1158</v>
      </c>
      <c r="G301" t="s">
        <v>1169</v>
      </c>
      <c r="H301" t="s">
        <v>1182</v>
      </c>
      <c r="I301" t="s">
        <v>1188</v>
      </c>
      <c r="J301" t="s">
        <v>1196</v>
      </c>
      <c r="K301" s="2">
        <v>45851</v>
      </c>
      <c r="L301" s="2" t="str">
        <f t="shared" si="8"/>
        <v>July</v>
      </c>
      <c r="M301">
        <v>5</v>
      </c>
      <c r="N301">
        <v>150000</v>
      </c>
    </row>
    <row r="302" spans="1:14" x14ac:dyDescent="0.3">
      <c r="A302" t="s">
        <v>312</v>
      </c>
      <c r="B302" t="s">
        <v>812</v>
      </c>
      <c r="C302" t="s">
        <v>1111</v>
      </c>
      <c r="D302">
        <v>35</v>
      </c>
      <c r="E302" t="str">
        <f t="shared" si="9"/>
        <v>Adult</v>
      </c>
      <c r="F302" t="s">
        <v>1158</v>
      </c>
      <c r="G302" t="s">
        <v>1177</v>
      </c>
      <c r="H302" t="s">
        <v>1184</v>
      </c>
      <c r="I302" t="s">
        <v>1188</v>
      </c>
      <c r="J302" t="s">
        <v>1196</v>
      </c>
      <c r="K302" s="2">
        <v>45626</v>
      </c>
      <c r="L302" s="2" t="str">
        <f t="shared" si="8"/>
        <v>November</v>
      </c>
      <c r="M302">
        <v>3</v>
      </c>
      <c r="N302">
        <v>90000</v>
      </c>
    </row>
    <row r="303" spans="1:14" x14ac:dyDescent="0.3">
      <c r="A303" t="s">
        <v>313</v>
      </c>
      <c r="B303" t="s">
        <v>813</v>
      </c>
      <c r="C303" t="s">
        <v>1111</v>
      </c>
      <c r="D303">
        <v>36</v>
      </c>
      <c r="E303" t="str">
        <f t="shared" si="9"/>
        <v>Adult</v>
      </c>
      <c r="F303" t="s">
        <v>1159</v>
      </c>
      <c r="G303" t="s">
        <v>1176</v>
      </c>
      <c r="H303" t="s">
        <v>1179</v>
      </c>
      <c r="I303" t="s">
        <v>1186</v>
      </c>
      <c r="J303" t="s">
        <v>1193</v>
      </c>
      <c r="K303" s="2">
        <v>45691</v>
      </c>
      <c r="L303" s="2" t="str">
        <f t="shared" si="8"/>
        <v>February</v>
      </c>
      <c r="M303">
        <v>2</v>
      </c>
      <c r="N303">
        <v>5000</v>
      </c>
    </row>
    <row r="304" spans="1:14" x14ac:dyDescent="0.3">
      <c r="A304" t="s">
        <v>314</v>
      </c>
      <c r="B304" t="s">
        <v>814</v>
      </c>
      <c r="C304" t="s">
        <v>1143</v>
      </c>
      <c r="D304">
        <v>32</v>
      </c>
      <c r="E304" t="str">
        <f t="shared" si="9"/>
        <v>Adult</v>
      </c>
      <c r="F304" t="s">
        <v>1158</v>
      </c>
      <c r="G304" t="s">
        <v>1165</v>
      </c>
      <c r="H304" t="s">
        <v>1179</v>
      </c>
      <c r="I304" t="s">
        <v>1188</v>
      </c>
      <c r="J304" t="s">
        <v>1194</v>
      </c>
      <c r="K304" s="2">
        <v>45735</v>
      </c>
      <c r="L304" s="2" t="str">
        <f t="shared" si="8"/>
        <v>March</v>
      </c>
      <c r="M304">
        <v>5</v>
      </c>
      <c r="N304">
        <v>150000</v>
      </c>
    </row>
    <row r="305" spans="1:14" x14ac:dyDescent="0.3">
      <c r="A305" t="s">
        <v>315</v>
      </c>
      <c r="B305" t="s">
        <v>815</v>
      </c>
      <c r="C305" t="s">
        <v>1035</v>
      </c>
      <c r="D305">
        <v>62</v>
      </c>
      <c r="E305" t="str">
        <f t="shared" si="9"/>
        <v>Senior</v>
      </c>
      <c r="F305" t="s">
        <v>1158</v>
      </c>
      <c r="G305" t="s">
        <v>1171</v>
      </c>
      <c r="H305" t="s">
        <v>1184</v>
      </c>
      <c r="I305" t="s">
        <v>1188</v>
      </c>
      <c r="J305" t="s">
        <v>1193</v>
      </c>
      <c r="K305" s="2">
        <v>45650</v>
      </c>
      <c r="L305" s="2" t="str">
        <f t="shared" si="8"/>
        <v>December</v>
      </c>
      <c r="M305">
        <v>2</v>
      </c>
      <c r="N305">
        <v>60000</v>
      </c>
    </row>
    <row r="306" spans="1:14" x14ac:dyDescent="0.3">
      <c r="A306" t="s">
        <v>316</v>
      </c>
      <c r="B306" t="s">
        <v>816</v>
      </c>
      <c r="C306" t="s">
        <v>1092</v>
      </c>
      <c r="D306">
        <v>61</v>
      </c>
      <c r="E306" t="str">
        <f t="shared" si="9"/>
        <v>Senior</v>
      </c>
      <c r="F306" t="s">
        <v>1158</v>
      </c>
      <c r="G306" t="s">
        <v>1168</v>
      </c>
      <c r="H306" t="s">
        <v>1185</v>
      </c>
      <c r="I306" t="s">
        <v>1188</v>
      </c>
      <c r="J306" t="s">
        <v>1196</v>
      </c>
      <c r="K306" s="2">
        <v>45714</v>
      </c>
      <c r="L306" s="2" t="str">
        <f t="shared" si="8"/>
        <v>February</v>
      </c>
      <c r="M306">
        <v>1</v>
      </c>
      <c r="N306">
        <v>30000</v>
      </c>
    </row>
    <row r="307" spans="1:14" x14ac:dyDescent="0.3">
      <c r="A307" t="s">
        <v>317</v>
      </c>
      <c r="B307" t="s">
        <v>817</v>
      </c>
      <c r="C307" t="s">
        <v>1098</v>
      </c>
      <c r="D307">
        <v>29</v>
      </c>
      <c r="E307" t="str">
        <f t="shared" si="9"/>
        <v>Teenager</v>
      </c>
      <c r="F307" t="s">
        <v>1159</v>
      </c>
      <c r="G307" t="s">
        <v>1160</v>
      </c>
      <c r="H307" t="s">
        <v>1179</v>
      </c>
      <c r="I307" t="s">
        <v>1189</v>
      </c>
      <c r="J307" t="s">
        <v>1192</v>
      </c>
      <c r="K307" s="2">
        <v>45588</v>
      </c>
      <c r="L307" s="2" t="str">
        <f t="shared" si="8"/>
        <v>October</v>
      </c>
      <c r="M307">
        <v>2</v>
      </c>
      <c r="N307">
        <v>4000</v>
      </c>
    </row>
    <row r="308" spans="1:14" x14ac:dyDescent="0.3">
      <c r="A308" t="s">
        <v>318</v>
      </c>
      <c r="B308" t="s">
        <v>818</v>
      </c>
      <c r="C308" t="s">
        <v>1103</v>
      </c>
      <c r="D308">
        <v>32</v>
      </c>
      <c r="E308" t="str">
        <f t="shared" si="9"/>
        <v>Adult</v>
      </c>
      <c r="F308" t="s">
        <v>1159</v>
      </c>
      <c r="G308" t="s">
        <v>1162</v>
      </c>
      <c r="H308" t="s">
        <v>1181</v>
      </c>
      <c r="I308" t="s">
        <v>1189</v>
      </c>
      <c r="J308" t="s">
        <v>1196</v>
      </c>
      <c r="K308" s="2">
        <v>45699</v>
      </c>
      <c r="L308" s="2" t="str">
        <f t="shared" si="8"/>
        <v>February</v>
      </c>
      <c r="M308">
        <v>4</v>
      </c>
      <c r="N308">
        <v>8000</v>
      </c>
    </row>
    <row r="309" spans="1:14" x14ac:dyDescent="0.3">
      <c r="A309" t="s">
        <v>319</v>
      </c>
      <c r="B309" t="s">
        <v>819</v>
      </c>
      <c r="C309" t="s">
        <v>1137</v>
      </c>
      <c r="D309">
        <v>19</v>
      </c>
      <c r="E309" t="str">
        <f t="shared" si="9"/>
        <v>Teenager</v>
      </c>
      <c r="F309" t="s">
        <v>1159</v>
      </c>
      <c r="G309" t="s">
        <v>1167</v>
      </c>
      <c r="H309" t="s">
        <v>1182</v>
      </c>
      <c r="I309" t="s">
        <v>1186</v>
      </c>
      <c r="J309" t="s">
        <v>1195</v>
      </c>
      <c r="K309" s="2">
        <v>45918</v>
      </c>
      <c r="L309" s="2" t="str">
        <f t="shared" si="8"/>
        <v>September</v>
      </c>
      <c r="M309">
        <v>2</v>
      </c>
      <c r="N309">
        <v>5000</v>
      </c>
    </row>
    <row r="310" spans="1:14" x14ac:dyDescent="0.3">
      <c r="A310" t="s">
        <v>320</v>
      </c>
      <c r="B310" t="s">
        <v>820</v>
      </c>
      <c r="C310" t="s">
        <v>1135</v>
      </c>
      <c r="D310">
        <v>37</v>
      </c>
      <c r="E310" t="str">
        <f t="shared" si="9"/>
        <v>Adult</v>
      </c>
      <c r="F310" t="s">
        <v>1158</v>
      </c>
      <c r="G310" t="s">
        <v>1174</v>
      </c>
      <c r="H310" t="s">
        <v>1180</v>
      </c>
      <c r="I310" t="s">
        <v>1189</v>
      </c>
      <c r="J310" t="s">
        <v>1194</v>
      </c>
      <c r="K310" s="2">
        <v>45885</v>
      </c>
      <c r="L310" s="2" t="str">
        <f t="shared" si="8"/>
        <v>August</v>
      </c>
      <c r="M310">
        <v>1</v>
      </c>
      <c r="N310">
        <v>2000</v>
      </c>
    </row>
    <row r="311" spans="1:14" x14ac:dyDescent="0.3">
      <c r="A311" t="s">
        <v>321</v>
      </c>
      <c r="B311" t="s">
        <v>821</v>
      </c>
      <c r="C311" t="s">
        <v>1116</v>
      </c>
      <c r="D311">
        <v>31</v>
      </c>
      <c r="E311" t="str">
        <f t="shared" si="9"/>
        <v>Adult</v>
      </c>
      <c r="F311" t="s">
        <v>1159</v>
      </c>
      <c r="G311" t="s">
        <v>1169</v>
      </c>
      <c r="H311" t="s">
        <v>1182</v>
      </c>
      <c r="I311" t="s">
        <v>1191</v>
      </c>
      <c r="J311" t="s">
        <v>1192</v>
      </c>
      <c r="K311" s="2">
        <v>45918</v>
      </c>
      <c r="L311" s="2" t="str">
        <f t="shared" si="8"/>
        <v>September</v>
      </c>
      <c r="M311">
        <v>4</v>
      </c>
      <c r="N311">
        <v>24000</v>
      </c>
    </row>
    <row r="312" spans="1:14" x14ac:dyDescent="0.3">
      <c r="A312" t="s">
        <v>322</v>
      </c>
      <c r="B312" t="s">
        <v>822</v>
      </c>
      <c r="C312" t="s">
        <v>1046</v>
      </c>
      <c r="D312">
        <v>43</v>
      </c>
      <c r="E312" t="str">
        <f t="shared" si="9"/>
        <v>Adult</v>
      </c>
      <c r="F312" t="s">
        <v>1159</v>
      </c>
      <c r="G312" t="s">
        <v>1172</v>
      </c>
      <c r="H312" t="s">
        <v>1185</v>
      </c>
      <c r="I312" t="s">
        <v>1186</v>
      </c>
      <c r="J312" t="s">
        <v>1196</v>
      </c>
      <c r="K312" s="2">
        <v>45871</v>
      </c>
      <c r="L312" s="2" t="str">
        <f t="shared" si="8"/>
        <v>August</v>
      </c>
      <c r="M312">
        <v>3</v>
      </c>
      <c r="N312">
        <v>7500</v>
      </c>
    </row>
    <row r="313" spans="1:14" x14ac:dyDescent="0.3">
      <c r="A313" t="s">
        <v>323</v>
      </c>
      <c r="B313" t="s">
        <v>823</v>
      </c>
      <c r="C313" t="s">
        <v>1074</v>
      </c>
      <c r="D313">
        <v>46</v>
      </c>
      <c r="E313" t="str">
        <f t="shared" si="9"/>
        <v>Adult</v>
      </c>
      <c r="F313" t="s">
        <v>1159</v>
      </c>
      <c r="G313" t="s">
        <v>1170</v>
      </c>
      <c r="H313" t="s">
        <v>1183</v>
      </c>
      <c r="I313" t="s">
        <v>1188</v>
      </c>
      <c r="J313" t="s">
        <v>1196</v>
      </c>
      <c r="K313" s="2">
        <v>45832</v>
      </c>
      <c r="L313" s="2" t="str">
        <f t="shared" si="8"/>
        <v>June</v>
      </c>
      <c r="M313">
        <v>1</v>
      </c>
      <c r="N313">
        <v>30000</v>
      </c>
    </row>
    <row r="314" spans="1:14" x14ac:dyDescent="0.3">
      <c r="A314" t="s">
        <v>324</v>
      </c>
      <c r="B314" t="s">
        <v>824</v>
      </c>
      <c r="C314" t="s">
        <v>1124</v>
      </c>
      <c r="D314">
        <v>23</v>
      </c>
      <c r="E314" t="str">
        <f t="shared" si="9"/>
        <v>Teenager</v>
      </c>
      <c r="F314" t="s">
        <v>1158</v>
      </c>
      <c r="G314" t="s">
        <v>1164</v>
      </c>
      <c r="H314" t="s">
        <v>1183</v>
      </c>
      <c r="I314" t="s">
        <v>1188</v>
      </c>
      <c r="J314" t="s">
        <v>1193</v>
      </c>
      <c r="K314" s="2">
        <v>45830</v>
      </c>
      <c r="L314" s="2" t="str">
        <f t="shared" si="8"/>
        <v>June</v>
      </c>
      <c r="M314">
        <v>4</v>
      </c>
      <c r="N314">
        <v>120000</v>
      </c>
    </row>
    <row r="315" spans="1:14" x14ac:dyDescent="0.3">
      <c r="A315" t="s">
        <v>325</v>
      </c>
      <c r="B315" t="s">
        <v>825</v>
      </c>
      <c r="C315" t="s">
        <v>1040</v>
      </c>
      <c r="D315">
        <v>59</v>
      </c>
      <c r="E315" t="str">
        <f t="shared" si="9"/>
        <v>Senior</v>
      </c>
      <c r="F315" t="s">
        <v>1158</v>
      </c>
      <c r="G315" t="s">
        <v>1172</v>
      </c>
      <c r="H315" t="s">
        <v>1185</v>
      </c>
      <c r="I315" t="s">
        <v>1191</v>
      </c>
      <c r="J315" t="s">
        <v>1195</v>
      </c>
      <c r="K315" s="2">
        <v>45653</v>
      </c>
      <c r="L315" s="2" t="str">
        <f t="shared" si="8"/>
        <v>December</v>
      </c>
      <c r="M315">
        <v>1</v>
      </c>
      <c r="N315">
        <v>6000</v>
      </c>
    </row>
    <row r="316" spans="1:14" x14ac:dyDescent="0.3">
      <c r="A316" t="s">
        <v>326</v>
      </c>
      <c r="B316" t="s">
        <v>826</v>
      </c>
      <c r="C316" t="s">
        <v>1045</v>
      </c>
      <c r="D316">
        <v>40</v>
      </c>
      <c r="E316" t="str">
        <f t="shared" si="9"/>
        <v>Adult</v>
      </c>
      <c r="F316" t="s">
        <v>1159</v>
      </c>
      <c r="G316" t="s">
        <v>1169</v>
      </c>
      <c r="H316" t="s">
        <v>1182</v>
      </c>
      <c r="I316" t="s">
        <v>1189</v>
      </c>
      <c r="J316" t="s">
        <v>1192</v>
      </c>
      <c r="K316" s="2">
        <v>45655</v>
      </c>
      <c r="L316" s="2" t="str">
        <f t="shared" si="8"/>
        <v>December</v>
      </c>
      <c r="M316">
        <v>4</v>
      </c>
      <c r="N316">
        <v>8000</v>
      </c>
    </row>
    <row r="317" spans="1:14" x14ac:dyDescent="0.3">
      <c r="A317" t="s">
        <v>327</v>
      </c>
      <c r="B317" t="s">
        <v>827</v>
      </c>
      <c r="C317" t="s">
        <v>1032</v>
      </c>
      <c r="D317">
        <v>44</v>
      </c>
      <c r="E317" t="str">
        <f t="shared" si="9"/>
        <v>Adult</v>
      </c>
      <c r="F317" t="s">
        <v>1158</v>
      </c>
      <c r="G317" t="s">
        <v>1166</v>
      </c>
      <c r="H317" t="s">
        <v>1184</v>
      </c>
      <c r="I317" t="s">
        <v>1191</v>
      </c>
      <c r="J317" t="s">
        <v>1196</v>
      </c>
      <c r="K317" s="2">
        <v>45623</v>
      </c>
      <c r="L317" s="2" t="str">
        <f t="shared" si="8"/>
        <v>November</v>
      </c>
      <c r="M317">
        <v>3</v>
      </c>
      <c r="N317">
        <v>18000</v>
      </c>
    </row>
    <row r="318" spans="1:14" x14ac:dyDescent="0.3">
      <c r="A318" t="s">
        <v>328</v>
      </c>
      <c r="B318" t="s">
        <v>828</v>
      </c>
      <c r="C318" t="s">
        <v>1058</v>
      </c>
      <c r="D318">
        <v>25</v>
      </c>
      <c r="E318" t="str">
        <f t="shared" si="9"/>
        <v>Teenager</v>
      </c>
      <c r="F318" t="s">
        <v>1158</v>
      </c>
      <c r="G318" t="s">
        <v>1164</v>
      </c>
      <c r="H318" t="s">
        <v>1183</v>
      </c>
      <c r="I318" t="s">
        <v>1190</v>
      </c>
      <c r="J318" t="s">
        <v>1194</v>
      </c>
      <c r="K318" s="2">
        <v>45678</v>
      </c>
      <c r="L318" s="2" t="str">
        <f t="shared" si="8"/>
        <v>January</v>
      </c>
      <c r="M318">
        <v>2</v>
      </c>
      <c r="N318">
        <v>30000</v>
      </c>
    </row>
    <row r="319" spans="1:14" x14ac:dyDescent="0.3">
      <c r="A319" t="s">
        <v>329</v>
      </c>
      <c r="B319" t="s">
        <v>829</v>
      </c>
      <c r="C319" t="s">
        <v>1100</v>
      </c>
      <c r="D319">
        <v>52</v>
      </c>
      <c r="E319" t="str">
        <f t="shared" si="9"/>
        <v>Senior</v>
      </c>
      <c r="F319" t="s">
        <v>1159</v>
      </c>
      <c r="G319" t="s">
        <v>1177</v>
      </c>
      <c r="H319" t="s">
        <v>1184</v>
      </c>
      <c r="I319" t="s">
        <v>1189</v>
      </c>
      <c r="J319" t="s">
        <v>1196</v>
      </c>
      <c r="K319" s="2">
        <v>45736</v>
      </c>
      <c r="L319" s="2" t="str">
        <f t="shared" si="8"/>
        <v>March</v>
      </c>
      <c r="M319">
        <v>1</v>
      </c>
      <c r="N319">
        <v>2000</v>
      </c>
    </row>
    <row r="320" spans="1:14" x14ac:dyDescent="0.3">
      <c r="A320" t="s">
        <v>330</v>
      </c>
      <c r="B320" t="s">
        <v>830</v>
      </c>
      <c r="C320" t="s">
        <v>1042</v>
      </c>
      <c r="D320">
        <v>60</v>
      </c>
      <c r="E320" t="str">
        <f t="shared" si="9"/>
        <v>Senior</v>
      </c>
      <c r="F320" t="s">
        <v>1158</v>
      </c>
      <c r="G320" t="s">
        <v>1178</v>
      </c>
      <c r="H320" t="s">
        <v>1180</v>
      </c>
      <c r="I320" t="s">
        <v>1191</v>
      </c>
      <c r="J320" t="s">
        <v>1193</v>
      </c>
      <c r="K320" s="2">
        <v>45675</v>
      </c>
      <c r="L320" s="2" t="str">
        <f t="shared" si="8"/>
        <v>January</v>
      </c>
      <c r="M320">
        <v>5</v>
      </c>
      <c r="N320">
        <v>30000</v>
      </c>
    </row>
    <row r="321" spans="1:14" x14ac:dyDescent="0.3">
      <c r="A321" t="s">
        <v>331</v>
      </c>
      <c r="B321" t="s">
        <v>831</v>
      </c>
      <c r="C321" t="s">
        <v>1144</v>
      </c>
      <c r="D321">
        <v>34</v>
      </c>
      <c r="E321" t="str">
        <f t="shared" si="9"/>
        <v>Adult</v>
      </c>
      <c r="F321" t="s">
        <v>1159</v>
      </c>
      <c r="G321" t="s">
        <v>1163</v>
      </c>
      <c r="H321" t="s">
        <v>1182</v>
      </c>
      <c r="I321" t="s">
        <v>1188</v>
      </c>
      <c r="J321" t="s">
        <v>1196</v>
      </c>
      <c r="K321" s="2">
        <v>45867</v>
      </c>
      <c r="L321" s="2" t="str">
        <f t="shared" si="8"/>
        <v>July</v>
      </c>
      <c r="M321">
        <v>4</v>
      </c>
      <c r="N321">
        <v>120000</v>
      </c>
    </row>
    <row r="322" spans="1:14" x14ac:dyDescent="0.3">
      <c r="A322" t="s">
        <v>332</v>
      </c>
      <c r="B322" t="s">
        <v>832</v>
      </c>
      <c r="C322" t="s">
        <v>1058</v>
      </c>
      <c r="D322">
        <v>22</v>
      </c>
      <c r="E322" t="str">
        <f t="shared" si="9"/>
        <v>Teenager</v>
      </c>
      <c r="F322" t="s">
        <v>1159</v>
      </c>
      <c r="G322" t="s">
        <v>1174</v>
      </c>
      <c r="H322" t="s">
        <v>1180</v>
      </c>
      <c r="I322" t="s">
        <v>1191</v>
      </c>
      <c r="J322" t="s">
        <v>1194</v>
      </c>
      <c r="K322" s="2">
        <v>45684</v>
      </c>
      <c r="L322" s="2" t="str">
        <f t="shared" si="8"/>
        <v>January</v>
      </c>
      <c r="M322">
        <v>2</v>
      </c>
      <c r="N322">
        <v>12000</v>
      </c>
    </row>
    <row r="323" spans="1:14" x14ac:dyDescent="0.3">
      <c r="A323" t="s">
        <v>333</v>
      </c>
      <c r="B323" t="s">
        <v>833</v>
      </c>
      <c r="C323" t="s">
        <v>1019</v>
      </c>
      <c r="D323">
        <v>45</v>
      </c>
      <c r="E323" t="str">
        <f t="shared" si="9"/>
        <v>Adult</v>
      </c>
      <c r="F323" t="s">
        <v>1159</v>
      </c>
      <c r="G323" t="s">
        <v>1177</v>
      </c>
      <c r="H323" t="s">
        <v>1184</v>
      </c>
      <c r="I323" t="s">
        <v>1189</v>
      </c>
      <c r="J323" t="s">
        <v>1192</v>
      </c>
      <c r="K323" s="2">
        <v>45604</v>
      </c>
      <c r="L323" s="2" t="str">
        <f t="shared" ref="L323:L386" si="10">TEXT(K323,"mmmm")</f>
        <v>November</v>
      </c>
      <c r="M323">
        <v>2</v>
      </c>
      <c r="N323">
        <v>4000</v>
      </c>
    </row>
    <row r="324" spans="1:14" x14ac:dyDescent="0.3">
      <c r="A324" t="s">
        <v>334</v>
      </c>
      <c r="B324" t="s">
        <v>834</v>
      </c>
      <c r="C324" t="s">
        <v>1071</v>
      </c>
      <c r="D324">
        <v>35</v>
      </c>
      <c r="E324" t="str">
        <f t="shared" ref="E324:E387" si="11">IF(D324&gt;=50,"Senior", IF(D324&gt;=30,"Adult", "Teenager"))</f>
        <v>Adult</v>
      </c>
      <c r="F324" t="s">
        <v>1159</v>
      </c>
      <c r="G324" t="s">
        <v>1176</v>
      </c>
      <c r="H324" t="s">
        <v>1179</v>
      </c>
      <c r="I324" t="s">
        <v>1187</v>
      </c>
      <c r="J324" t="s">
        <v>1195</v>
      </c>
      <c r="K324" s="2">
        <v>45931</v>
      </c>
      <c r="L324" s="2" t="str">
        <f t="shared" si="10"/>
        <v>October</v>
      </c>
      <c r="M324">
        <v>1</v>
      </c>
      <c r="N324">
        <v>55000</v>
      </c>
    </row>
    <row r="325" spans="1:14" x14ac:dyDescent="0.3">
      <c r="A325" t="s">
        <v>335</v>
      </c>
      <c r="B325" t="s">
        <v>835</v>
      </c>
      <c r="C325" t="s">
        <v>1037</v>
      </c>
      <c r="D325">
        <v>59</v>
      </c>
      <c r="E325" t="str">
        <f t="shared" si="11"/>
        <v>Senior</v>
      </c>
      <c r="F325" t="s">
        <v>1158</v>
      </c>
      <c r="G325" t="s">
        <v>1170</v>
      </c>
      <c r="H325" t="s">
        <v>1183</v>
      </c>
      <c r="I325" t="s">
        <v>1190</v>
      </c>
      <c r="J325" t="s">
        <v>1193</v>
      </c>
      <c r="K325" s="2">
        <v>45948</v>
      </c>
      <c r="L325" s="2" t="str">
        <f t="shared" si="10"/>
        <v>October</v>
      </c>
      <c r="M325">
        <v>1</v>
      </c>
      <c r="N325">
        <v>15000</v>
      </c>
    </row>
    <row r="326" spans="1:14" x14ac:dyDescent="0.3">
      <c r="A326" t="s">
        <v>336</v>
      </c>
      <c r="B326" t="s">
        <v>836</v>
      </c>
      <c r="C326" t="s">
        <v>1052</v>
      </c>
      <c r="D326">
        <v>31</v>
      </c>
      <c r="E326" t="str">
        <f t="shared" si="11"/>
        <v>Adult</v>
      </c>
      <c r="F326" t="s">
        <v>1159</v>
      </c>
      <c r="G326" t="s">
        <v>1160</v>
      </c>
      <c r="H326" t="s">
        <v>1179</v>
      </c>
      <c r="I326" t="s">
        <v>1186</v>
      </c>
      <c r="J326" t="s">
        <v>1193</v>
      </c>
      <c r="K326" s="2">
        <v>45690</v>
      </c>
      <c r="L326" s="2" t="str">
        <f t="shared" si="10"/>
        <v>February</v>
      </c>
      <c r="M326">
        <v>4</v>
      </c>
      <c r="N326">
        <v>10000</v>
      </c>
    </row>
    <row r="327" spans="1:14" x14ac:dyDescent="0.3">
      <c r="A327" t="s">
        <v>337</v>
      </c>
      <c r="B327" t="s">
        <v>837</v>
      </c>
      <c r="C327" t="s">
        <v>1129</v>
      </c>
      <c r="D327">
        <v>20</v>
      </c>
      <c r="E327" t="str">
        <f t="shared" si="11"/>
        <v>Teenager</v>
      </c>
      <c r="F327" t="s">
        <v>1158</v>
      </c>
      <c r="G327" t="s">
        <v>1177</v>
      </c>
      <c r="H327" t="s">
        <v>1184</v>
      </c>
      <c r="I327" t="s">
        <v>1191</v>
      </c>
      <c r="J327" t="s">
        <v>1196</v>
      </c>
      <c r="K327" s="2">
        <v>45710</v>
      </c>
      <c r="L327" s="2" t="str">
        <f t="shared" si="10"/>
        <v>February</v>
      </c>
      <c r="M327">
        <v>4</v>
      </c>
      <c r="N327">
        <v>24000</v>
      </c>
    </row>
    <row r="328" spans="1:14" x14ac:dyDescent="0.3">
      <c r="A328" t="s">
        <v>338</v>
      </c>
      <c r="B328" t="s">
        <v>838</v>
      </c>
      <c r="C328" t="s">
        <v>1044</v>
      </c>
      <c r="D328">
        <v>32</v>
      </c>
      <c r="E328" t="str">
        <f t="shared" si="11"/>
        <v>Adult</v>
      </c>
      <c r="F328" t="s">
        <v>1158</v>
      </c>
      <c r="G328" t="s">
        <v>1162</v>
      </c>
      <c r="H328" t="s">
        <v>1181</v>
      </c>
      <c r="I328" t="s">
        <v>1188</v>
      </c>
      <c r="J328" t="s">
        <v>1193</v>
      </c>
      <c r="K328" s="2">
        <v>45674</v>
      </c>
      <c r="L328" s="2" t="str">
        <f t="shared" si="10"/>
        <v>January</v>
      </c>
      <c r="M328">
        <v>3</v>
      </c>
      <c r="N328">
        <v>90000</v>
      </c>
    </row>
    <row r="329" spans="1:14" x14ac:dyDescent="0.3">
      <c r="A329" t="s">
        <v>339</v>
      </c>
      <c r="B329" t="s">
        <v>839</v>
      </c>
      <c r="C329" t="s">
        <v>1083</v>
      </c>
      <c r="D329">
        <v>18</v>
      </c>
      <c r="E329" t="str">
        <f t="shared" si="11"/>
        <v>Teenager</v>
      </c>
      <c r="F329" t="s">
        <v>1159</v>
      </c>
      <c r="G329" t="s">
        <v>1161</v>
      </c>
      <c r="H329" t="s">
        <v>1180</v>
      </c>
      <c r="I329" t="s">
        <v>1190</v>
      </c>
      <c r="J329" t="s">
        <v>1192</v>
      </c>
      <c r="K329" s="2">
        <v>45610</v>
      </c>
      <c r="L329" s="2" t="str">
        <f t="shared" si="10"/>
        <v>November</v>
      </c>
      <c r="M329">
        <v>2</v>
      </c>
      <c r="N329">
        <v>30000</v>
      </c>
    </row>
    <row r="330" spans="1:14" x14ac:dyDescent="0.3">
      <c r="A330" t="s">
        <v>340</v>
      </c>
      <c r="B330" t="s">
        <v>840</v>
      </c>
      <c r="C330" t="s">
        <v>1145</v>
      </c>
      <c r="D330">
        <v>31</v>
      </c>
      <c r="E330" t="str">
        <f t="shared" si="11"/>
        <v>Adult</v>
      </c>
      <c r="F330" t="s">
        <v>1158</v>
      </c>
      <c r="G330" t="s">
        <v>1174</v>
      </c>
      <c r="H330" t="s">
        <v>1180</v>
      </c>
      <c r="I330" t="s">
        <v>1188</v>
      </c>
      <c r="J330" t="s">
        <v>1193</v>
      </c>
      <c r="K330" s="2">
        <v>45746</v>
      </c>
      <c r="L330" s="2" t="str">
        <f t="shared" si="10"/>
        <v>March</v>
      </c>
      <c r="M330">
        <v>3</v>
      </c>
      <c r="N330">
        <v>90000</v>
      </c>
    </row>
    <row r="331" spans="1:14" x14ac:dyDescent="0.3">
      <c r="A331" t="s">
        <v>341</v>
      </c>
      <c r="B331" t="s">
        <v>841</v>
      </c>
      <c r="C331" t="s">
        <v>1101</v>
      </c>
      <c r="D331">
        <v>43</v>
      </c>
      <c r="E331" t="str">
        <f t="shared" si="11"/>
        <v>Adult</v>
      </c>
      <c r="F331" t="s">
        <v>1158</v>
      </c>
      <c r="G331" t="s">
        <v>1161</v>
      </c>
      <c r="H331" t="s">
        <v>1180</v>
      </c>
      <c r="I331" t="s">
        <v>1191</v>
      </c>
      <c r="J331" t="s">
        <v>1192</v>
      </c>
      <c r="K331" s="2">
        <v>45888</v>
      </c>
      <c r="L331" s="2" t="str">
        <f t="shared" si="10"/>
        <v>August</v>
      </c>
      <c r="M331">
        <v>2</v>
      </c>
      <c r="N331">
        <v>12000</v>
      </c>
    </row>
    <row r="332" spans="1:14" x14ac:dyDescent="0.3">
      <c r="A332" t="s">
        <v>342</v>
      </c>
      <c r="B332" t="s">
        <v>842</v>
      </c>
      <c r="C332" t="s">
        <v>1051</v>
      </c>
      <c r="D332">
        <v>32</v>
      </c>
      <c r="E332" t="str">
        <f t="shared" si="11"/>
        <v>Adult</v>
      </c>
      <c r="F332" t="s">
        <v>1159</v>
      </c>
      <c r="G332" t="s">
        <v>1166</v>
      </c>
      <c r="H332" t="s">
        <v>1184</v>
      </c>
      <c r="I332" t="s">
        <v>1189</v>
      </c>
      <c r="J332" t="s">
        <v>1194</v>
      </c>
      <c r="K332" s="2">
        <v>45754</v>
      </c>
      <c r="L332" s="2" t="str">
        <f t="shared" si="10"/>
        <v>April</v>
      </c>
      <c r="M332">
        <v>3</v>
      </c>
      <c r="N332">
        <v>6000</v>
      </c>
    </row>
    <row r="333" spans="1:14" x14ac:dyDescent="0.3">
      <c r="A333" t="s">
        <v>343</v>
      </c>
      <c r="B333" t="s">
        <v>843</v>
      </c>
      <c r="C333" t="s">
        <v>1073</v>
      </c>
      <c r="D333">
        <v>30</v>
      </c>
      <c r="E333" t="str">
        <f t="shared" si="11"/>
        <v>Adult</v>
      </c>
      <c r="F333" t="s">
        <v>1158</v>
      </c>
      <c r="G333" t="s">
        <v>1160</v>
      </c>
      <c r="H333" t="s">
        <v>1179</v>
      </c>
      <c r="I333" t="s">
        <v>1191</v>
      </c>
      <c r="J333" t="s">
        <v>1194</v>
      </c>
      <c r="K333" s="2">
        <v>45821</v>
      </c>
      <c r="L333" s="2" t="str">
        <f t="shared" si="10"/>
        <v>June</v>
      </c>
      <c r="M333">
        <v>3</v>
      </c>
      <c r="N333">
        <v>18000</v>
      </c>
    </row>
    <row r="334" spans="1:14" x14ac:dyDescent="0.3">
      <c r="A334" t="s">
        <v>344</v>
      </c>
      <c r="B334" t="s">
        <v>844</v>
      </c>
      <c r="C334" t="s">
        <v>1072</v>
      </c>
      <c r="D334">
        <v>60</v>
      </c>
      <c r="E334" t="str">
        <f t="shared" si="11"/>
        <v>Senior</v>
      </c>
      <c r="F334" t="s">
        <v>1158</v>
      </c>
      <c r="G334" t="s">
        <v>1177</v>
      </c>
      <c r="H334" t="s">
        <v>1184</v>
      </c>
      <c r="I334" t="s">
        <v>1189</v>
      </c>
      <c r="J334" t="s">
        <v>1193</v>
      </c>
      <c r="K334" s="2">
        <v>45723</v>
      </c>
      <c r="L334" s="2" t="str">
        <f t="shared" si="10"/>
        <v>March</v>
      </c>
      <c r="M334">
        <v>2</v>
      </c>
      <c r="N334">
        <v>4000</v>
      </c>
    </row>
    <row r="335" spans="1:14" x14ac:dyDescent="0.3">
      <c r="A335" t="s">
        <v>345</v>
      </c>
      <c r="B335" t="s">
        <v>845</v>
      </c>
      <c r="C335" t="s">
        <v>1014</v>
      </c>
      <c r="D335">
        <v>25</v>
      </c>
      <c r="E335" t="str">
        <f t="shared" si="11"/>
        <v>Teenager</v>
      </c>
      <c r="F335" t="s">
        <v>1158</v>
      </c>
      <c r="G335" t="s">
        <v>1178</v>
      </c>
      <c r="H335" t="s">
        <v>1180</v>
      </c>
      <c r="I335" t="s">
        <v>1189</v>
      </c>
      <c r="J335" t="s">
        <v>1193</v>
      </c>
      <c r="K335" s="2">
        <v>45875</v>
      </c>
      <c r="L335" s="2" t="str">
        <f t="shared" si="10"/>
        <v>August</v>
      </c>
      <c r="M335">
        <v>3</v>
      </c>
      <c r="N335">
        <v>6000</v>
      </c>
    </row>
    <row r="336" spans="1:14" x14ac:dyDescent="0.3">
      <c r="A336" t="s">
        <v>346</v>
      </c>
      <c r="B336" t="s">
        <v>846</v>
      </c>
      <c r="C336" t="s">
        <v>1066</v>
      </c>
      <c r="D336">
        <v>59</v>
      </c>
      <c r="E336" t="str">
        <f t="shared" si="11"/>
        <v>Senior</v>
      </c>
      <c r="F336" t="s">
        <v>1158</v>
      </c>
      <c r="G336" t="s">
        <v>1162</v>
      </c>
      <c r="H336" t="s">
        <v>1181</v>
      </c>
      <c r="I336" t="s">
        <v>1186</v>
      </c>
      <c r="J336" t="s">
        <v>1194</v>
      </c>
      <c r="K336" s="2">
        <v>45861</v>
      </c>
      <c r="L336" s="2" t="str">
        <f t="shared" si="10"/>
        <v>July</v>
      </c>
      <c r="M336">
        <v>5</v>
      </c>
      <c r="N336">
        <v>12500</v>
      </c>
    </row>
    <row r="337" spans="1:14" x14ac:dyDescent="0.3">
      <c r="A337" t="s">
        <v>347</v>
      </c>
      <c r="B337" t="s">
        <v>847</v>
      </c>
      <c r="C337" t="s">
        <v>1046</v>
      </c>
      <c r="D337">
        <v>39</v>
      </c>
      <c r="E337" t="str">
        <f t="shared" si="11"/>
        <v>Adult</v>
      </c>
      <c r="F337" t="s">
        <v>1158</v>
      </c>
      <c r="G337" t="s">
        <v>1175</v>
      </c>
      <c r="H337" t="s">
        <v>1183</v>
      </c>
      <c r="I337" t="s">
        <v>1186</v>
      </c>
      <c r="J337" t="s">
        <v>1192</v>
      </c>
      <c r="K337" s="2">
        <v>45628</v>
      </c>
      <c r="L337" s="2" t="str">
        <f t="shared" si="10"/>
        <v>December</v>
      </c>
      <c r="M337">
        <v>2</v>
      </c>
      <c r="N337">
        <v>5000</v>
      </c>
    </row>
    <row r="338" spans="1:14" x14ac:dyDescent="0.3">
      <c r="A338" t="s">
        <v>348</v>
      </c>
      <c r="B338" t="s">
        <v>848</v>
      </c>
      <c r="C338" t="s">
        <v>1136</v>
      </c>
      <c r="D338">
        <v>27</v>
      </c>
      <c r="E338" t="str">
        <f t="shared" si="11"/>
        <v>Teenager</v>
      </c>
      <c r="F338" t="s">
        <v>1159</v>
      </c>
      <c r="G338" t="s">
        <v>1162</v>
      </c>
      <c r="H338" t="s">
        <v>1181</v>
      </c>
      <c r="I338" t="s">
        <v>1191</v>
      </c>
      <c r="J338" t="s">
        <v>1193</v>
      </c>
      <c r="K338" s="2">
        <v>45838</v>
      </c>
      <c r="L338" s="2" t="str">
        <f t="shared" si="10"/>
        <v>June</v>
      </c>
      <c r="M338">
        <v>3</v>
      </c>
      <c r="N338">
        <v>18000</v>
      </c>
    </row>
    <row r="339" spans="1:14" x14ac:dyDescent="0.3">
      <c r="A339" t="s">
        <v>349</v>
      </c>
      <c r="B339" t="s">
        <v>849</v>
      </c>
      <c r="C339" t="s">
        <v>1112</v>
      </c>
      <c r="D339">
        <v>50</v>
      </c>
      <c r="E339" t="str">
        <f t="shared" si="11"/>
        <v>Senior</v>
      </c>
      <c r="F339" t="s">
        <v>1159</v>
      </c>
      <c r="G339" t="s">
        <v>1164</v>
      </c>
      <c r="H339" t="s">
        <v>1183</v>
      </c>
      <c r="I339" t="s">
        <v>1191</v>
      </c>
      <c r="J339" t="s">
        <v>1194</v>
      </c>
      <c r="K339" s="2">
        <v>45923</v>
      </c>
      <c r="L339" s="2" t="str">
        <f t="shared" si="10"/>
        <v>September</v>
      </c>
      <c r="M339">
        <v>1</v>
      </c>
      <c r="N339">
        <v>6000</v>
      </c>
    </row>
    <row r="340" spans="1:14" x14ac:dyDescent="0.3">
      <c r="A340" t="s">
        <v>350</v>
      </c>
      <c r="B340" t="s">
        <v>850</v>
      </c>
      <c r="C340" t="s">
        <v>1020</v>
      </c>
      <c r="D340">
        <v>57</v>
      </c>
      <c r="E340" t="str">
        <f t="shared" si="11"/>
        <v>Senior</v>
      </c>
      <c r="F340" t="s">
        <v>1159</v>
      </c>
      <c r="G340" t="s">
        <v>1169</v>
      </c>
      <c r="H340" t="s">
        <v>1182</v>
      </c>
      <c r="I340" t="s">
        <v>1189</v>
      </c>
      <c r="J340" t="s">
        <v>1193</v>
      </c>
      <c r="K340" s="2">
        <v>45826</v>
      </c>
      <c r="L340" s="2" t="str">
        <f t="shared" si="10"/>
        <v>June</v>
      </c>
      <c r="M340">
        <v>3</v>
      </c>
      <c r="N340">
        <v>6000</v>
      </c>
    </row>
    <row r="341" spans="1:14" x14ac:dyDescent="0.3">
      <c r="A341" t="s">
        <v>351</v>
      </c>
      <c r="B341" t="s">
        <v>851</v>
      </c>
      <c r="C341" t="s">
        <v>1038</v>
      </c>
      <c r="D341">
        <v>63</v>
      </c>
      <c r="E341" t="str">
        <f t="shared" si="11"/>
        <v>Senior</v>
      </c>
      <c r="F341" t="s">
        <v>1159</v>
      </c>
      <c r="G341" t="s">
        <v>1161</v>
      </c>
      <c r="H341" t="s">
        <v>1180</v>
      </c>
      <c r="I341" t="s">
        <v>1190</v>
      </c>
      <c r="J341" t="s">
        <v>1196</v>
      </c>
      <c r="K341" s="2">
        <v>45751</v>
      </c>
      <c r="L341" s="2" t="str">
        <f t="shared" si="10"/>
        <v>April</v>
      </c>
      <c r="M341">
        <v>2</v>
      </c>
      <c r="N341">
        <v>30000</v>
      </c>
    </row>
    <row r="342" spans="1:14" x14ac:dyDescent="0.3">
      <c r="A342" t="s">
        <v>352</v>
      </c>
      <c r="B342" t="s">
        <v>852</v>
      </c>
      <c r="C342" t="s">
        <v>1118</v>
      </c>
      <c r="D342">
        <v>29</v>
      </c>
      <c r="E342" t="str">
        <f t="shared" si="11"/>
        <v>Teenager</v>
      </c>
      <c r="F342" t="s">
        <v>1158</v>
      </c>
      <c r="G342" t="s">
        <v>1166</v>
      </c>
      <c r="H342" t="s">
        <v>1184</v>
      </c>
      <c r="I342" t="s">
        <v>1186</v>
      </c>
      <c r="J342" t="s">
        <v>1196</v>
      </c>
      <c r="K342" s="2">
        <v>45710</v>
      </c>
      <c r="L342" s="2" t="str">
        <f t="shared" si="10"/>
        <v>February</v>
      </c>
      <c r="M342">
        <v>5</v>
      </c>
      <c r="N342">
        <v>12500</v>
      </c>
    </row>
    <row r="343" spans="1:14" x14ac:dyDescent="0.3">
      <c r="A343" t="s">
        <v>353</v>
      </c>
      <c r="B343" t="s">
        <v>853</v>
      </c>
      <c r="C343" t="s">
        <v>1074</v>
      </c>
      <c r="D343">
        <v>57</v>
      </c>
      <c r="E343" t="str">
        <f t="shared" si="11"/>
        <v>Senior</v>
      </c>
      <c r="F343" t="s">
        <v>1158</v>
      </c>
      <c r="G343" t="s">
        <v>1168</v>
      </c>
      <c r="H343" t="s">
        <v>1185</v>
      </c>
      <c r="I343" t="s">
        <v>1186</v>
      </c>
      <c r="J343" t="s">
        <v>1195</v>
      </c>
      <c r="K343" s="2">
        <v>45748</v>
      </c>
      <c r="L343" s="2" t="str">
        <f t="shared" si="10"/>
        <v>April</v>
      </c>
      <c r="M343">
        <v>3</v>
      </c>
      <c r="N343">
        <v>7500</v>
      </c>
    </row>
    <row r="344" spans="1:14" x14ac:dyDescent="0.3">
      <c r="A344" t="s">
        <v>354</v>
      </c>
      <c r="B344" t="s">
        <v>854</v>
      </c>
      <c r="C344" t="s">
        <v>1068</v>
      </c>
      <c r="D344">
        <v>46</v>
      </c>
      <c r="E344" t="str">
        <f t="shared" si="11"/>
        <v>Adult</v>
      </c>
      <c r="F344" t="s">
        <v>1158</v>
      </c>
      <c r="G344" t="s">
        <v>1165</v>
      </c>
      <c r="H344" t="s">
        <v>1179</v>
      </c>
      <c r="I344" t="s">
        <v>1190</v>
      </c>
      <c r="J344" t="s">
        <v>1192</v>
      </c>
      <c r="K344" s="2">
        <v>45662</v>
      </c>
      <c r="L344" s="2" t="str">
        <f t="shared" si="10"/>
        <v>January</v>
      </c>
      <c r="M344">
        <v>3</v>
      </c>
      <c r="N344">
        <v>45000</v>
      </c>
    </row>
    <row r="345" spans="1:14" x14ac:dyDescent="0.3">
      <c r="A345" t="s">
        <v>355</v>
      </c>
      <c r="B345" t="s">
        <v>855</v>
      </c>
      <c r="C345" t="s">
        <v>1079</v>
      </c>
      <c r="D345">
        <v>21</v>
      </c>
      <c r="E345" t="str">
        <f t="shared" si="11"/>
        <v>Teenager</v>
      </c>
      <c r="F345" t="s">
        <v>1158</v>
      </c>
      <c r="G345" t="s">
        <v>1177</v>
      </c>
      <c r="H345" t="s">
        <v>1184</v>
      </c>
      <c r="I345" t="s">
        <v>1189</v>
      </c>
      <c r="J345" t="s">
        <v>1195</v>
      </c>
      <c r="K345" s="2">
        <v>45772</v>
      </c>
      <c r="L345" s="2" t="str">
        <f t="shared" si="10"/>
        <v>April</v>
      </c>
      <c r="M345">
        <v>4</v>
      </c>
      <c r="N345">
        <v>8000</v>
      </c>
    </row>
    <row r="346" spans="1:14" x14ac:dyDescent="0.3">
      <c r="A346" t="s">
        <v>356</v>
      </c>
      <c r="B346" t="s">
        <v>856</v>
      </c>
      <c r="C346" t="s">
        <v>1091</v>
      </c>
      <c r="D346">
        <v>60</v>
      </c>
      <c r="E346" t="str">
        <f t="shared" si="11"/>
        <v>Senior</v>
      </c>
      <c r="F346" t="s">
        <v>1158</v>
      </c>
      <c r="G346" t="s">
        <v>1171</v>
      </c>
      <c r="H346" t="s">
        <v>1184</v>
      </c>
      <c r="I346" t="s">
        <v>1191</v>
      </c>
      <c r="J346" t="s">
        <v>1193</v>
      </c>
      <c r="K346" s="2">
        <v>45779</v>
      </c>
      <c r="L346" s="2" t="str">
        <f t="shared" si="10"/>
        <v>May</v>
      </c>
      <c r="M346">
        <v>5</v>
      </c>
      <c r="N346">
        <v>30000</v>
      </c>
    </row>
    <row r="347" spans="1:14" x14ac:dyDescent="0.3">
      <c r="A347" t="s">
        <v>357</v>
      </c>
      <c r="B347" t="s">
        <v>857</v>
      </c>
      <c r="C347" t="s">
        <v>1119</v>
      </c>
      <c r="D347">
        <v>53</v>
      </c>
      <c r="E347" t="str">
        <f t="shared" si="11"/>
        <v>Senior</v>
      </c>
      <c r="F347" t="s">
        <v>1158</v>
      </c>
      <c r="G347" t="s">
        <v>1164</v>
      </c>
      <c r="H347" t="s">
        <v>1183</v>
      </c>
      <c r="I347" t="s">
        <v>1186</v>
      </c>
      <c r="J347" t="s">
        <v>1193</v>
      </c>
      <c r="K347" s="2">
        <v>45802</v>
      </c>
      <c r="L347" s="2" t="str">
        <f t="shared" si="10"/>
        <v>May</v>
      </c>
      <c r="M347">
        <v>2</v>
      </c>
      <c r="N347">
        <v>5000</v>
      </c>
    </row>
    <row r="348" spans="1:14" x14ac:dyDescent="0.3">
      <c r="A348" t="s">
        <v>358</v>
      </c>
      <c r="B348" t="s">
        <v>858</v>
      </c>
      <c r="C348" t="s">
        <v>1108</v>
      </c>
      <c r="D348">
        <v>21</v>
      </c>
      <c r="E348" t="str">
        <f t="shared" si="11"/>
        <v>Teenager</v>
      </c>
      <c r="F348" t="s">
        <v>1159</v>
      </c>
      <c r="G348" t="s">
        <v>1171</v>
      </c>
      <c r="H348" t="s">
        <v>1184</v>
      </c>
      <c r="I348" t="s">
        <v>1189</v>
      </c>
      <c r="J348" t="s">
        <v>1194</v>
      </c>
      <c r="K348" s="2">
        <v>45785</v>
      </c>
      <c r="L348" s="2" t="str">
        <f t="shared" si="10"/>
        <v>May</v>
      </c>
      <c r="M348">
        <v>2</v>
      </c>
      <c r="N348">
        <v>4000</v>
      </c>
    </row>
    <row r="349" spans="1:14" x14ac:dyDescent="0.3">
      <c r="A349" t="s">
        <v>359</v>
      </c>
      <c r="B349" t="s">
        <v>859</v>
      </c>
      <c r="C349" t="s">
        <v>1070</v>
      </c>
      <c r="D349">
        <v>34</v>
      </c>
      <c r="E349" t="str">
        <f t="shared" si="11"/>
        <v>Adult</v>
      </c>
      <c r="F349" t="s">
        <v>1159</v>
      </c>
      <c r="G349" t="s">
        <v>1162</v>
      </c>
      <c r="H349" t="s">
        <v>1181</v>
      </c>
      <c r="I349" t="s">
        <v>1191</v>
      </c>
      <c r="J349" t="s">
        <v>1193</v>
      </c>
      <c r="K349" s="2">
        <v>45704</v>
      </c>
      <c r="L349" s="2" t="str">
        <f t="shared" si="10"/>
        <v>February</v>
      </c>
      <c r="M349">
        <v>4</v>
      </c>
      <c r="N349">
        <v>24000</v>
      </c>
    </row>
    <row r="350" spans="1:14" x14ac:dyDescent="0.3">
      <c r="A350" t="s">
        <v>360</v>
      </c>
      <c r="B350" t="s">
        <v>860</v>
      </c>
      <c r="C350" t="s">
        <v>1077</v>
      </c>
      <c r="D350">
        <v>22</v>
      </c>
      <c r="E350" t="str">
        <f t="shared" si="11"/>
        <v>Teenager</v>
      </c>
      <c r="F350" t="s">
        <v>1158</v>
      </c>
      <c r="G350" t="s">
        <v>1172</v>
      </c>
      <c r="H350" t="s">
        <v>1185</v>
      </c>
      <c r="I350" t="s">
        <v>1187</v>
      </c>
      <c r="J350" t="s">
        <v>1195</v>
      </c>
      <c r="K350" s="2">
        <v>45759</v>
      </c>
      <c r="L350" s="2" t="str">
        <f t="shared" si="10"/>
        <v>April</v>
      </c>
      <c r="M350">
        <v>3</v>
      </c>
      <c r="N350">
        <v>165000</v>
      </c>
    </row>
    <row r="351" spans="1:14" x14ac:dyDescent="0.3">
      <c r="A351" t="s">
        <v>361</v>
      </c>
      <c r="B351" t="s">
        <v>861</v>
      </c>
      <c r="C351" t="s">
        <v>1146</v>
      </c>
      <c r="D351">
        <v>25</v>
      </c>
      <c r="E351" t="str">
        <f t="shared" si="11"/>
        <v>Teenager</v>
      </c>
      <c r="F351" t="s">
        <v>1158</v>
      </c>
      <c r="G351" t="s">
        <v>1170</v>
      </c>
      <c r="H351" t="s">
        <v>1183</v>
      </c>
      <c r="I351" t="s">
        <v>1190</v>
      </c>
      <c r="J351" t="s">
        <v>1193</v>
      </c>
      <c r="K351" s="2">
        <v>45830</v>
      </c>
      <c r="L351" s="2" t="str">
        <f t="shared" si="10"/>
        <v>June</v>
      </c>
      <c r="M351">
        <v>2</v>
      </c>
      <c r="N351">
        <v>30000</v>
      </c>
    </row>
    <row r="352" spans="1:14" x14ac:dyDescent="0.3">
      <c r="A352" t="s">
        <v>362</v>
      </c>
      <c r="B352" t="s">
        <v>862</v>
      </c>
      <c r="C352" t="s">
        <v>1089</v>
      </c>
      <c r="D352">
        <v>43</v>
      </c>
      <c r="E352" t="str">
        <f t="shared" si="11"/>
        <v>Adult</v>
      </c>
      <c r="F352" t="s">
        <v>1159</v>
      </c>
      <c r="G352" t="s">
        <v>1161</v>
      </c>
      <c r="H352" t="s">
        <v>1180</v>
      </c>
      <c r="I352" t="s">
        <v>1191</v>
      </c>
      <c r="J352" t="s">
        <v>1192</v>
      </c>
      <c r="K352" s="2">
        <v>45780</v>
      </c>
      <c r="L352" s="2" t="str">
        <f t="shared" si="10"/>
        <v>May</v>
      </c>
      <c r="M352">
        <v>3</v>
      </c>
      <c r="N352">
        <v>18000</v>
      </c>
    </row>
    <row r="353" spans="1:14" x14ac:dyDescent="0.3">
      <c r="A353" t="s">
        <v>363</v>
      </c>
      <c r="B353" t="s">
        <v>863</v>
      </c>
      <c r="C353" t="s">
        <v>1079</v>
      </c>
      <c r="D353">
        <v>40</v>
      </c>
      <c r="E353" t="str">
        <f t="shared" si="11"/>
        <v>Adult</v>
      </c>
      <c r="F353" t="s">
        <v>1158</v>
      </c>
      <c r="G353" t="s">
        <v>1178</v>
      </c>
      <c r="H353" t="s">
        <v>1180</v>
      </c>
      <c r="I353" t="s">
        <v>1189</v>
      </c>
      <c r="J353" t="s">
        <v>1192</v>
      </c>
      <c r="K353" s="2">
        <v>45759</v>
      </c>
      <c r="L353" s="2" t="str">
        <f t="shared" si="10"/>
        <v>April</v>
      </c>
      <c r="M353">
        <v>1</v>
      </c>
      <c r="N353">
        <v>2000</v>
      </c>
    </row>
    <row r="354" spans="1:14" x14ac:dyDescent="0.3">
      <c r="A354" t="s">
        <v>364</v>
      </c>
      <c r="B354" t="s">
        <v>864</v>
      </c>
      <c r="C354" t="s">
        <v>1073</v>
      </c>
      <c r="D354">
        <v>53</v>
      </c>
      <c r="E354" t="str">
        <f t="shared" si="11"/>
        <v>Senior</v>
      </c>
      <c r="F354" t="s">
        <v>1158</v>
      </c>
      <c r="G354" t="s">
        <v>1168</v>
      </c>
      <c r="H354" t="s">
        <v>1185</v>
      </c>
      <c r="I354" t="s">
        <v>1190</v>
      </c>
      <c r="J354" t="s">
        <v>1194</v>
      </c>
      <c r="K354" s="2">
        <v>45793</v>
      </c>
      <c r="L354" s="2" t="str">
        <f t="shared" si="10"/>
        <v>May</v>
      </c>
      <c r="M354">
        <v>1</v>
      </c>
      <c r="N354">
        <v>15000</v>
      </c>
    </row>
    <row r="355" spans="1:14" x14ac:dyDescent="0.3">
      <c r="A355" t="s">
        <v>365</v>
      </c>
      <c r="B355" t="s">
        <v>865</v>
      </c>
      <c r="C355" t="s">
        <v>1043</v>
      </c>
      <c r="D355">
        <v>19</v>
      </c>
      <c r="E355" t="str">
        <f t="shared" si="11"/>
        <v>Teenager</v>
      </c>
      <c r="F355" t="s">
        <v>1158</v>
      </c>
      <c r="G355" t="s">
        <v>1167</v>
      </c>
      <c r="H355" t="s">
        <v>1182</v>
      </c>
      <c r="I355" t="s">
        <v>1191</v>
      </c>
      <c r="J355" t="s">
        <v>1194</v>
      </c>
      <c r="K355" s="2">
        <v>45683</v>
      </c>
      <c r="L355" s="2" t="str">
        <f t="shared" si="10"/>
        <v>January</v>
      </c>
      <c r="M355">
        <v>2</v>
      </c>
      <c r="N355">
        <v>12000</v>
      </c>
    </row>
    <row r="356" spans="1:14" x14ac:dyDescent="0.3">
      <c r="A356" t="s">
        <v>366</v>
      </c>
      <c r="B356" t="s">
        <v>866</v>
      </c>
      <c r="C356" t="s">
        <v>1139</v>
      </c>
      <c r="D356">
        <v>50</v>
      </c>
      <c r="E356" t="str">
        <f t="shared" si="11"/>
        <v>Senior</v>
      </c>
      <c r="F356" t="s">
        <v>1159</v>
      </c>
      <c r="G356" t="s">
        <v>1162</v>
      </c>
      <c r="H356" t="s">
        <v>1181</v>
      </c>
      <c r="I356" t="s">
        <v>1189</v>
      </c>
      <c r="J356" t="s">
        <v>1194</v>
      </c>
      <c r="K356" s="2">
        <v>45768</v>
      </c>
      <c r="L356" s="2" t="str">
        <f t="shared" si="10"/>
        <v>April</v>
      </c>
      <c r="M356">
        <v>1</v>
      </c>
      <c r="N356">
        <v>2000</v>
      </c>
    </row>
    <row r="357" spans="1:14" x14ac:dyDescent="0.3">
      <c r="A357" t="s">
        <v>367</v>
      </c>
      <c r="B357" t="s">
        <v>867</v>
      </c>
      <c r="C357" t="s">
        <v>1041</v>
      </c>
      <c r="D357">
        <v>37</v>
      </c>
      <c r="E357" t="str">
        <f t="shared" si="11"/>
        <v>Adult</v>
      </c>
      <c r="F357" t="s">
        <v>1158</v>
      </c>
      <c r="G357" t="s">
        <v>1174</v>
      </c>
      <c r="H357" t="s">
        <v>1180</v>
      </c>
      <c r="I357" t="s">
        <v>1189</v>
      </c>
      <c r="J357" t="s">
        <v>1196</v>
      </c>
      <c r="K357" s="2">
        <v>45679</v>
      </c>
      <c r="L357" s="2" t="str">
        <f t="shared" si="10"/>
        <v>January</v>
      </c>
      <c r="M357">
        <v>1</v>
      </c>
      <c r="N357">
        <v>2000</v>
      </c>
    </row>
    <row r="358" spans="1:14" x14ac:dyDescent="0.3">
      <c r="A358" t="s">
        <v>368</v>
      </c>
      <c r="B358" t="s">
        <v>868</v>
      </c>
      <c r="C358" t="s">
        <v>1053</v>
      </c>
      <c r="D358">
        <v>61</v>
      </c>
      <c r="E358" t="str">
        <f t="shared" si="11"/>
        <v>Senior</v>
      </c>
      <c r="F358" t="s">
        <v>1158</v>
      </c>
      <c r="G358" t="s">
        <v>1162</v>
      </c>
      <c r="H358" t="s">
        <v>1181</v>
      </c>
      <c r="I358" t="s">
        <v>1190</v>
      </c>
      <c r="J358" t="s">
        <v>1194</v>
      </c>
      <c r="K358" s="2">
        <v>45791</v>
      </c>
      <c r="L358" s="2" t="str">
        <f t="shared" si="10"/>
        <v>May</v>
      </c>
      <c r="M358">
        <v>1</v>
      </c>
      <c r="N358">
        <v>15000</v>
      </c>
    </row>
    <row r="359" spans="1:14" x14ac:dyDescent="0.3">
      <c r="A359" t="s">
        <v>369</v>
      </c>
      <c r="B359" t="s">
        <v>869</v>
      </c>
      <c r="C359" t="s">
        <v>1035</v>
      </c>
      <c r="D359">
        <v>20</v>
      </c>
      <c r="E359" t="str">
        <f t="shared" si="11"/>
        <v>Teenager</v>
      </c>
      <c r="F359" t="s">
        <v>1159</v>
      </c>
      <c r="G359" t="s">
        <v>1162</v>
      </c>
      <c r="H359" t="s">
        <v>1181</v>
      </c>
      <c r="I359" t="s">
        <v>1187</v>
      </c>
      <c r="J359" t="s">
        <v>1194</v>
      </c>
      <c r="K359" s="2">
        <v>45660</v>
      </c>
      <c r="L359" s="2" t="str">
        <f t="shared" si="10"/>
        <v>January</v>
      </c>
      <c r="M359">
        <v>5</v>
      </c>
      <c r="N359">
        <v>275000</v>
      </c>
    </row>
    <row r="360" spans="1:14" x14ac:dyDescent="0.3">
      <c r="A360" t="s">
        <v>370</v>
      </c>
      <c r="B360" t="s">
        <v>870</v>
      </c>
      <c r="C360" t="s">
        <v>1089</v>
      </c>
      <c r="D360">
        <v>63</v>
      </c>
      <c r="E360" t="str">
        <f t="shared" si="11"/>
        <v>Senior</v>
      </c>
      <c r="F360" t="s">
        <v>1159</v>
      </c>
      <c r="G360" t="s">
        <v>1176</v>
      </c>
      <c r="H360" t="s">
        <v>1179</v>
      </c>
      <c r="I360" t="s">
        <v>1187</v>
      </c>
      <c r="J360" t="s">
        <v>1193</v>
      </c>
      <c r="K360" s="2">
        <v>45845</v>
      </c>
      <c r="L360" s="2" t="str">
        <f t="shared" si="10"/>
        <v>July</v>
      </c>
      <c r="M360">
        <v>2</v>
      </c>
      <c r="N360">
        <v>110000</v>
      </c>
    </row>
    <row r="361" spans="1:14" x14ac:dyDescent="0.3">
      <c r="A361" t="s">
        <v>371</v>
      </c>
      <c r="B361" t="s">
        <v>871</v>
      </c>
      <c r="C361" t="s">
        <v>1147</v>
      </c>
      <c r="D361">
        <v>23</v>
      </c>
      <c r="E361" t="str">
        <f t="shared" si="11"/>
        <v>Teenager</v>
      </c>
      <c r="F361" t="s">
        <v>1158</v>
      </c>
      <c r="G361" t="s">
        <v>1165</v>
      </c>
      <c r="H361" t="s">
        <v>1179</v>
      </c>
      <c r="I361" t="s">
        <v>1190</v>
      </c>
      <c r="J361" t="s">
        <v>1196</v>
      </c>
      <c r="K361" s="2">
        <v>45720</v>
      </c>
      <c r="L361" s="2" t="str">
        <f t="shared" si="10"/>
        <v>March</v>
      </c>
      <c r="M361">
        <v>3</v>
      </c>
      <c r="N361">
        <v>45000</v>
      </c>
    </row>
    <row r="362" spans="1:14" x14ac:dyDescent="0.3">
      <c r="A362" t="s">
        <v>372</v>
      </c>
      <c r="B362" t="s">
        <v>872</v>
      </c>
      <c r="C362" t="s">
        <v>1052</v>
      </c>
      <c r="D362">
        <v>39</v>
      </c>
      <c r="E362" t="str">
        <f t="shared" si="11"/>
        <v>Adult</v>
      </c>
      <c r="F362" t="s">
        <v>1159</v>
      </c>
      <c r="G362" t="s">
        <v>1171</v>
      </c>
      <c r="H362" t="s">
        <v>1184</v>
      </c>
      <c r="I362" t="s">
        <v>1188</v>
      </c>
      <c r="J362" t="s">
        <v>1192</v>
      </c>
      <c r="K362" s="2">
        <v>45724</v>
      </c>
      <c r="L362" s="2" t="str">
        <f t="shared" si="10"/>
        <v>March</v>
      </c>
      <c r="M362">
        <v>2</v>
      </c>
      <c r="N362">
        <v>60000</v>
      </c>
    </row>
    <row r="363" spans="1:14" x14ac:dyDescent="0.3">
      <c r="A363" t="s">
        <v>373</v>
      </c>
      <c r="B363" t="s">
        <v>873</v>
      </c>
      <c r="C363" t="s">
        <v>1049</v>
      </c>
      <c r="D363">
        <v>34</v>
      </c>
      <c r="E363" t="str">
        <f t="shared" si="11"/>
        <v>Adult</v>
      </c>
      <c r="F363" t="s">
        <v>1159</v>
      </c>
      <c r="G363" t="s">
        <v>1174</v>
      </c>
      <c r="H363" t="s">
        <v>1180</v>
      </c>
      <c r="I363" t="s">
        <v>1190</v>
      </c>
      <c r="J363" t="s">
        <v>1194</v>
      </c>
      <c r="K363" s="2">
        <v>45704</v>
      </c>
      <c r="L363" s="2" t="str">
        <f t="shared" si="10"/>
        <v>February</v>
      </c>
      <c r="M363">
        <v>4</v>
      </c>
      <c r="N363">
        <v>60000</v>
      </c>
    </row>
    <row r="364" spans="1:14" x14ac:dyDescent="0.3">
      <c r="A364" t="s">
        <v>374</v>
      </c>
      <c r="B364" t="s">
        <v>874</v>
      </c>
      <c r="C364" t="s">
        <v>1144</v>
      </c>
      <c r="D364">
        <v>36</v>
      </c>
      <c r="E364" t="str">
        <f t="shared" si="11"/>
        <v>Adult</v>
      </c>
      <c r="F364" t="s">
        <v>1159</v>
      </c>
      <c r="G364" t="s">
        <v>1163</v>
      </c>
      <c r="H364" t="s">
        <v>1182</v>
      </c>
      <c r="I364" t="s">
        <v>1187</v>
      </c>
      <c r="J364" t="s">
        <v>1195</v>
      </c>
      <c r="K364" s="2">
        <v>45718</v>
      </c>
      <c r="L364" s="2" t="str">
        <f t="shared" si="10"/>
        <v>March</v>
      </c>
      <c r="M364">
        <v>1</v>
      </c>
      <c r="N364">
        <v>55000</v>
      </c>
    </row>
    <row r="365" spans="1:14" x14ac:dyDescent="0.3">
      <c r="A365" t="s">
        <v>375</v>
      </c>
      <c r="B365" t="s">
        <v>875</v>
      </c>
      <c r="C365" t="s">
        <v>1126</v>
      </c>
      <c r="D365">
        <v>35</v>
      </c>
      <c r="E365" t="str">
        <f t="shared" si="11"/>
        <v>Adult</v>
      </c>
      <c r="F365" t="s">
        <v>1158</v>
      </c>
      <c r="G365" t="s">
        <v>1164</v>
      </c>
      <c r="H365" t="s">
        <v>1183</v>
      </c>
      <c r="I365" t="s">
        <v>1188</v>
      </c>
      <c r="J365" t="s">
        <v>1193</v>
      </c>
      <c r="K365" s="2">
        <v>45753</v>
      </c>
      <c r="L365" s="2" t="str">
        <f t="shared" si="10"/>
        <v>April</v>
      </c>
      <c r="M365">
        <v>3</v>
      </c>
      <c r="N365">
        <v>90000</v>
      </c>
    </row>
    <row r="366" spans="1:14" x14ac:dyDescent="0.3">
      <c r="A366" t="s">
        <v>376</v>
      </c>
      <c r="B366" t="s">
        <v>876</v>
      </c>
      <c r="C366" t="s">
        <v>1148</v>
      </c>
      <c r="D366">
        <v>59</v>
      </c>
      <c r="E366" t="str">
        <f t="shared" si="11"/>
        <v>Senior</v>
      </c>
      <c r="F366" t="s">
        <v>1159</v>
      </c>
      <c r="G366" t="s">
        <v>1175</v>
      </c>
      <c r="H366" t="s">
        <v>1183</v>
      </c>
      <c r="I366" t="s">
        <v>1190</v>
      </c>
      <c r="J366" t="s">
        <v>1196</v>
      </c>
      <c r="K366" s="2">
        <v>45796</v>
      </c>
      <c r="L366" s="2" t="str">
        <f t="shared" si="10"/>
        <v>May</v>
      </c>
      <c r="M366">
        <v>5</v>
      </c>
      <c r="N366">
        <v>75000</v>
      </c>
    </row>
    <row r="367" spans="1:14" x14ac:dyDescent="0.3">
      <c r="A367" t="s">
        <v>377</v>
      </c>
      <c r="B367" t="s">
        <v>877</v>
      </c>
      <c r="C367" t="s">
        <v>1121</v>
      </c>
      <c r="D367">
        <v>34</v>
      </c>
      <c r="E367" t="str">
        <f t="shared" si="11"/>
        <v>Adult</v>
      </c>
      <c r="F367" t="s">
        <v>1158</v>
      </c>
      <c r="G367" t="s">
        <v>1169</v>
      </c>
      <c r="H367" t="s">
        <v>1182</v>
      </c>
      <c r="I367" t="s">
        <v>1188</v>
      </c>
      <c r="J367" t="s">
        <v>1195</v>
      </c>
      <c r="K367" s="2">
        <v>45861</v>
      </c>
      <c r="L367" s="2" t="str">
        <f t="shared" si="10"/>
        <v>July</v>
      </c>
      <c r="M367">
        <v>4</v>
      </c>
      <c r="N367">
        <v>120000</v>
      </c>
    </row>
    <row r="368" spans="1:14" x14ac:dyDescent="0.3">
      <c r="A368" t="s">
        <v>378</v>
      </c>
      <c r="B368" t="s">
        <v>878</v>
      </c>
      <c r="C368" t="s">
        <v>1043</v>
      </c>
      <c r="D368">
        <v>34</v>
      </c>
      <c r="E368" t="str">
        <f t="shared" si="11"/>
        <v>Adult</v>
      </c>
      <c r="F368" t="s">
        <v>1158</v>
      </c>
      <c r="G368" t="s">
        <v>1178</v>
      </c>
      <c r="H368" t="s">
        <v>1180</v>
      </c>
      <c r="I368" t="s">
        <v>1187</v>
      </c>
      <c r="J368" t="s">
        <v>1196</v>
      </c>
      <c r="K368" s="2">
        <v>45711</v>
      </c>
      <c r="L368" s="2" t="str">
        <f t="shared" si="10"/>
        <v>February</v>
      </c>
      <c r="M368">
        <v>1</v>
      </c>
      <c r="N368">
        <v>55000</v>
      </c>
    </row>
    <row r="369" spans="1:14" x14ac:dyDescent="0.3">
      <c r="A369" t="s">
        <v>379</v>
      </c>
      <c r="B369" t="s">
        <v>879</v>
      </c>
      <c r="C369" t="s">
        <v>1129</v>
      </c>
      <c r="D369">
        <v>32</v>
      </c>
      <c r="E369" t="str">
        <f t="shared" si="11"/>
        <v>Adult</v>
      </c>
      <c r="F369" t="s">
        <v>1158</v>
      </c>
      <c r="G369" t="s">
        <v>1163</v>
      </c>
      <c r="H369" t="s">
        <v>1182</v>
      </c>
      <c r="I369" t="s">
        <v>1188</v>
      </c>
      <c r="J369" t="s">
        <v>1192</v>
      </c>
      <c r="K369" s="2">
        <v>45929</v>
      </c>
      <c r="L369" s="2" t="str">
        <f t="shared" si="10"/>
        <v>September</v>
      </c>
      <c r="M369">
        <v>3</v>
      </c>
      <c r="N369">
        <v>90000</v>
      </c>
    </row>
    <row r="370" spans="1:14" x14ac:dyDescent="0.3">
      <c r="A370" t="s">
        <v>380</v>
      </c>
      <c r="B370" t="s">
        <v>880</v>
      </c>
      <c r="C370" t="s">
        <v>1121</v>
      </c>
      <c r="D370">
        <v>64</v>
      </c>
      <c r="E370" t="str">
        <f t="shared" si="11"/>
        <v>Senior</v>
      </c>
      <c r="F370" t="s">
        <v>1158</v>
      </c>
      <c r="G370" t="s">
        <v>1176</v>
      </c>
      <c r="H370" t="s">
        <v>1179</v>
      </c>
      <c r="I370" t="s">
        <v>1188</v>
      </c>
      <c r="J370" t="s">
        <v>1195</v>
      </c>
      <c r="K370" s="2">
        <v>45901</v>
      </c>
      <c r="L370" s="2" t="str">
        <f t="shared" si="10"/>
        <v>September</v>
      </c>
      <c r="M370">
        <v>3</v>
      </c>
      <c r="N370">
        <v>90000</v>
      </c>
    </row>
    <row r="371" spans="1:14" x14ac:dyDescent="0.3">
      <c r="A371" t="s">
        <v>381</v>
      </c>
      <c r="B371" t="s">
        <v>881</v>
      </c>
      <c r="C371" t="s">
        <v>1067</v>
      </c>
      <c r="D371">
        <v>27</v>
      </c>
      <c r="E371" t="str">
        <f t="shared" si="11"/>
        <v>Teenager</v>
      </c>
      <c r="F371" t="s">
        <v>1158</v>
      </c>
      <c r="G371" t="s">
        <v>1177</v>
      </c>
      <c r="H371" t="s">
        <v>1184</v>
      </c>
      <c r="I371" t="s">
        <v>1189</v>
      </c>
      <c r="J371" t="s">
        <v>1195</v>
      </c>
      <c r="K371" s="2">
        <v>45947</v>
      </c>
      <c r="L371" s="2" t="str">
        <f t="shared" si="10"/>
        <v>October</v>
      </c>
      <c r="M371">
        <v>5</v>
      </c>
      <c r="N371">
        <v>10000</v>
      </c>
    </row>
    <row r="372" spans="1:14" x14ac:dyDescent="0.3">
      <c r="A372" t="s">
        <v>382</v>
      </c>
      <c r="B372" t="s">
        <v>882</v>
      </c>
      <c r="C372" t="s">
        <v>1017</v>
      </c>
      <c r="D372">
        <v>40</v>
      </c>
      <c r="E372" t="str">
        <f t="shared" si="11"/>
        <v>Adult</v>
      </c>
      <c r="F372" t="s">
        <v>1159</v>
      </c>
      <c r="G372" t="s">
        <v>1162</v>
      </c>
      <c r="H372" t="s">
        <v>1181</v>
      </c>
      <c r="I372" t="s">
        <v>1188</v>
      </c>
      <c r="J372" t="s">
        <v>1194</v>
      </c>
      <c r="K372" s="2">
        <v>45807</v>
      </c>
      <c r="L372" s="2" t="str">
        <f t="shared" si="10"/>
        <v>May</v>
      </c>
      <c r="M372">
        <v>3</v>
      </c>
      <c r="N372">
        <v>90000</v>
      </c>
    </row>
    <row r="373" spans="1:14" x14ac:dyDescent="0.3">
      <c r="A373" t="s">
        <v>383</v>
      </c>
      <c r="B373" t="s">
        <v>883</v>
      </c>
      <c r="C373" t="s">
        <v>1089</v>
      </c>
      <c r="D373">
        <v>34</v>
      </c>
      <c r="E373" t="str">
        <f t="shared" si="11"/>
        <v>Adult</v>
      </c>
      <c r="F373" t="s">
        <v>1159</v>
      </c>
      <c r="G373" t="s">
        <v>1161</v>
      </c>
      <c r="H373" t="s">
        <v>1180</v>
      </c>
      <c r="I373" t="s">
        <v>1187</v>
      </c>
      <c r="J373" t="s">
        <v>1193</v>
      </c>
      <c r="K373" s="2">
        <v>45628</v>
      </c>
      <c r="L373" s="2" t="str">
        <f t="shared" si="10"/>
        <v>December</v>
      </c>
      <c r="M373">
        <v>4</v>
      </c>
      <c r="N373">
        <v>220000</v>
      </c>
    </row>
    <row r="374" spans="1:14" x14ac:dyDescent="0.3">
      <c r="A374" t="s">
        <v>384</v>
      </c>
      <c r="B374" t="s">
        <v>884</v>
      </c>
      <c r="C374" t="s">
        <v>1100</v>
      </c>
      <c r="D374">
        <v>45</v>
      </c>
      <c r="E374" t="str">
        <f t="shared" si="11"/>
        <v>Adult</v>
      </c>
      <c r="F374" t="s">
        <v>1158</v>
      </c>
      <c r="G374" t="s">
        <v>1172</v>
      </c>
      <c r="H374" t="s">
        <v>1185</v>
      </c>
      <c r="I374" t="s">
        <v>1188</v>
      </c>
      <c r="J374" t="s">
        <v>1195</v>
      </c>
      <c r="K374" s="2">
        <v>45811</v>
      </c>
      <c r="L374" s="2" t="str">
        <f t="shared" si="10"/>
        <v>June</v>
      </c>
      <c r="M374">
        <v>2</v>
      </c>
      <c r="N374">
        <v>60000</v>
      </c>
    </row>
    <row r="375" spans="1:14" x14ac:dyDescent="0.3">
      <c r="A375" t="s">
        <v>385</v>
      </c>
      <c r="B375" t="s">
        <v>885</v>
      </c>
      <c r="C375" t="s">
        <v>1069</v>
      </c>
      <c r="D375">
        <v>49</v>
      </c>
      <c r="E375" t="str">
        <f t="shared" si="11"/>
        <v>Adult</v>
      </c>
      <c r="F375" t="s">
        <v>1158</v>
      </c>
      <c r="G375" t="s">
        <v>1175</v>
      </c>
      <c r="H375" t="s">
        <v>1183</v>
      </c>
      <c r="I375" t="s">
        <v>1190</v>
      </c>
      <c r="J375" t="s">
        <v>1196</v>
      </c>
      <c r="K375" s="2">
        <v>45850</v>
      </c>
      <c r="L375" s="2" t="str">
        <f t="shared" si="10"/>
        <v>July</v>
      </c>
      <c r="M375">
        <v>4</v>
      </c>
      <c r="N375">
        <v>60000</v>
      </c>
    </row>
    <row r="376" spans="1:14" x14ac:dyDescent="0.3">
      <c r="A376" t="s">
        <v>386</v>
      </c>
      <c r="B376" t="s">
        <v>886</v>
      </c>
      <c r="C376" t="s">
        <v>1078</v>
      </c>
      <c r="D376">
        <v>57</v>
      </c>
      <c r="E376" t="str">
        <f t="shared" si="11"/>
        <v>Senior</v>
      </c>
      <c r="F376" t="s">
        <v>1159</v>
      </c>
      <c r="G376" t="s">
        <v>1162</v>
      </c>
      <c r="H376" t="s">
        <v>1181</v>
      </c>
      <c r="I376" t="s">
        <v>1189</v>
      </c>
      <c r="J376" t="s">
        <v>1194</v>
      </c>
      <c r="K376" s="2">
        <v>45769</v>
      </c>
      <c r="L376" s="2" t="str">
        <f t="shared" si="10"/>
        <v>April</v>
      </c>
      <c r="M376">
        <v>3</v>
      </c>
      <c r="N376">
        <v>6000</v>
      </c>
    </row>
    <row r="377" spans="1:14" x14ac:dyDescent="0.3">
      <c r="A377" t="s">
        <v>387</v>
      </c>
      <c r="B377" t="s">
        <v>887</v>
      </c>
      <c r="C377" t="s">
        <v>1149</v>
      </c>
      <c r="D377">
        <v>49</v>
      </c>
      <c r="E377" t="str">
        <f t="shared" si="11"/>
        <v>Adult</v>
      </c>
      <c r="F377" t="s">
        <v>1158</v>
      </c>
      <c r="G377" t="s">
        <v>1168</v>
      </c>
      <c r="H377" t="s">
        <v>1185</v>
      </c>
      <c r="I377" t="s">
        <v>1189</v>
      </c>
      <c r="J377" t="s">
        <v>1192</v>
      </c>
      <c r="K377" s="2">
        <v>45818</v>
      </c>
      <c r="L377" s="2" t="str">
        <f t="shared" si="10"/>
        <v>June</v>
      </c>
      <c r="M377">
        <v>1</v>
      </c>
      <c r="N377">
        <v>2000</v>
      </c>
    </row>
    <row r="378" spans="1:14" x14ac:dyDescent="0.3">
      <c r="A378" t="s">
        <v>388</v>
      </c>
      <c r="B378" t="s">
        <v>888</v>
      </c>
      <c r="C378" t="s">
        <v>1116</v>
      </c>
      <c r="D378">
        <v>54</v>
      </c>
      <c r="E378" t="str">
        <f t="shared" si="11"/>
        <v>Senior</v>
      </c>
      <c r="F378" t="s">
        <v>1159</v>
      </c>
      <c r="G378" t="s">
        <v>1162</v>
      </c>
      <c r="H378" t="s">
        <v>1181</v>
      </c>
      <c r="I378" t="s">
        <v>1188</v>
      </c>
      <c r="J378" t="s">
        <v>1194</v>
      </c>
      <c r="K378" s="2">
        <v>45706</v>
      </c>
      <c r="L378" s="2" t="str">
        <f t="shared" si="10"/>
        <v>February</v>
      </c>
      <c r="M378">
        <v>5</v>
      </c>
      <c r="N378">
        <v>150000</v>
      </c>
    </row>
    <row r="379" spans="1:14" x14ac:dyDescent="0.3">
      <c r="A379" t="s">
        <v>389</v>
      </c>
      <c r="B379" t="s">
        <v>889</v>
      </c>
      <c r="C379" t="s">
        <v>1150</v>
      </c>
      <c r="D379">
        <v>60</v>
      </c>
      <c r="E379" t="str">
        <f t="shared" si="11"/>
        <v>Senior</v>
      </c>
      <c r="F379" t="s">
        <v>1159</v>
      </c>
      <c r="G379" t="s">
        <v>1167</v>
      </c>
      <c r="H379" t="s">
        <v>1182</v>
      </c>
      <c r="I379" t="s">
        <v>1189</v>
      </c>
      <c r="J379" t="s">
        <v>1193</v>
      </c>
      <c r="K379" s="2">
        <v>45604</v>
      </c>
      <c r="L379" s="2" t="str">
        <f t="shared" si="10"/>
        <v>November</v>
      </c>
      <c r="M379">
        <v>1</v>
      </c>
      <c r="N379">
        <v>2000</v>
      </c>
    </row>
    <row r="380" spans="1:14" x14ac:dyDescent="0.3">
      <c r="A380" t="s">
        <v>390</v>
      </c>
      <c r="B380" t="s">
        <v>890</v>
      </c>
      <c r="C380" t="s">
        <v>1025</v>
      </c>
      <c r="D380">
        <v>52</v>
      </c>
      <c r="E380" t="str">
        <f t="shared" si="11"/>
        <v>Senior</v>
      </c>
      <c r="F380" t="s">
        <v>1158</v>
      </c>
      <c r="G380" t="s">
        <v>1162</v>
      </c>
      <c r="H380" t="s">
        <v>1181</v>
      </c>
      <c r="I380" t="s">
        <v>1188</v>
      </c>
      <c r="J380" t="s">
        <v>1195</v>
      </c>
      <c r="K380" s="2">
        <v>45921</v>
      </c>
      <c r="L380" s="2" t="str">
        <f t="shared" si="10"/>
        <v>September</v>
      </c>
      <c r="M380">
        <v>2</v>
      </c>
      <c r="N380">
        <v>60000</v>
      </c>
    </row>
    <row r="381" spans="1:14" x14ac:dyDescent="0.3">
      <c r="A381" t="s">
        <v>391</v>
      </c>
      <c r="B381" t="s">
        <v>891</v>
      </c>
      <c r="C381" t="s">
        <v>1151</v>
      </c>
      <c r="D381">
        <v>35</v>
      </c>
      <c r="E381" t="str">
        <f t="shared" si="11"/>
        <v>Adult</v>
      </c>
      <c r="F381" t="s">
        <v>1159</v>
      </c>
      <c r="G381" t="s">
        <v>1169</v>
      </c>
      <c r="H381" t="s">
        <v>1182</v>
      </c>
      <c r="I381" t="s">
        <v>1191</v>
      </c>
      <c r="J381" t="s">
        <v>1196</v>
      </c>
      <c r="K381" s="2">
        <v>45777</v>
      </c>
      <c r="L381" s="2" t="str">
        <f t="shared" si="10"/>
        <v>April</v>
      </c>
      <c r="M381">
        <v>4</v>
      </c>
      <c r="N381">
        <v>24000</v>
      </c>
    </row>
    <row r="382" spans="1:14" x14ac:dyDescent="0.3">
      <c r="A382" t="s">
        <v>392</v>
      </c>
      <c r="B382" t="s">
        <v>892</v>
      </c>
      <c r="C382" t="s">
        <v>1110</v>
      </c>
      <c r="D382">
        <v>45</v>
      </c>
      <c r="E382" t="str">
        <f t="shared" si="11"/>
        <v>Adult</v>
      </c>
      <c r="F382" t="s">
        <v>1159</v>
      </c>
      <c r="G382" t="s">
        <v>1164</v>
      </c>
      <c r="H382" t="s">
        <v>1183</v>
      </c>
      <c r="I382" t="s">
        <v>1190</v>
      </c>
      <c r="J382" t="s">
        <v>1193</v>
      </c>
      <c r="K382" s="2">
        <v>45809</v>
      </c>
      <c r="L382" s="2" t="str">
        <f t="shared" si="10"/>
        <v>June</v>
      </c>
      <c r="M382">
        <v>3</v>
      </c>
      <c r="N382">
        <v>45000</v>
      </c>
    </row>
    <row r="383" spans="1:14" x14ac:dyDescent="0.3">
      <c r="A383" t="s">
        <v>393</v>
      </c>
      <c r="B383" t="s">
        <v>893</v>
      </c>
      <c r="C383" t="s">
        <v>1031</v>
      </c>
      <c r="D383">
        <v>41</v>
      </c>
      <c r="E383" t="str">
        <f t="shared" si="11"/>
        <v>Adult</v>
      </c>
      <c r="F383" t="s">
        <v>1158</v>
      </c>
      <c r="G383" t="s">
        <v>1174</v>
      </c>
      <c r="H383" t="s">
        <v>1180</v>
      </c>
      <c r="I383" t="s">
        <v>1187</v>
      </c>
      <c r="J383" t="s">
        <v>1196</v>
      </c>
      <c r="K383" s="2">
        <v>45791</v>
      </c>
      <c r="L383" s="2" t="str">
        <f t="shared" si="10"/>
        <v>May</v>
      </c>
      <c r="M383">
        <v>5</v>
      </c>
      <c r="N383">
        <v>275000</v>
      </c>
    </row>
    <row r="384" spans="1:14" x14ac:dyDescent="0.3">
      <c r="A384" t="s">
        <v>394</v>
      </c>
      <c r="B384" t="s">
        <v>894</v>
      </c>
      <c r="C384" t="s">
        <v>1130</v>
      </c>
      <c r="D384">
        <v>28</v>
      </c>
      <c r="E384" t="str">
        <f t="shared" si="11"/>
        <v>Teenager</v>
      </c>
      <c r="F384" t="s">
        <v>1159</v>
      </c>
      <c r="G384" t="s">
        <v>1174</v>
      </c>
      <c r="H384" t="s">
        <v>1180</v>
      </c>
      <c r="I384" t="s">
        <v>1189</v>
      </c>
      <c r="J384" t="s">
        <v>1194</v>
      </c>
      <c r="K384" s="2">
        <v>45870</v>
      </c>
      <c r="L384" s="2" t="str">
        <f t="shared" si="10"/>
        <v>August</v>
      </c>
      <c r="M384">
        <v>1</v>
      </c>
      <c r="N384">
        <v>2000</v>
      </c>
    </row>
    <row r="385" spans="1:14" x14ac:dyDescent="0.3">
      <c r="A385" t="s">
        <v>395</v>
      </c>
      <c r="B385" t="s">
        <v>895</v>
      </c>
      <c r="C385" t="s">
        <v>1026</v>
      </c>
      <c r="D385">
        <v>47</v>
      </c>
      <c r="E385" t="str">
        <f t="shared" si="11"/>
        <v>Adult</v>
      </c>
      <c r="F385" t="s">
        <v>1159</v>
      </c>
      <c r="G385" t="s">
        <v>1172</v>
      </c>
      <c r="H385" t="s">
        <v>1185</v>
      </c>
      <c r="I385" t="s">
        <v>1188</v>
      </c>
      <c r="J385" t="s">
        <v>1196</v>
      </c>
      <c r="K385" s="2">
        <v>45656</v>
      </c>
      <c r="L385" s="2" t="str">
        <f t="shared" si="10"/>
        <v>December</v>
      </c>
      <c r="M385">
        <v>2</v>
      </c>
      <c r="N385">
        <v>60000</v>
      </c>
    </row>
    <row r="386" spans="1:14" x14ac:dyDescent="0.3">
      <c r="A386" t="s">
        <v>396</v>
      </c>
      <c r="B386" t="s">
        <v>896</v>
      </c>
      <c r="C386" t="s">
        <v>1078</v>
      </c>
      <c r="D386">
        <v>20</v>
      </c>
      <c r="E386" t="str">
        <f t="shared" si="11"/>
        <v>Teenager</v>
      </c>
      <c r="F386" t="s">
        <v>1159</v>
      </c>
      <c r="G386" t="s">
        <v>1162</v>
      </c>
      <c r="H386" t="s">
        <v>1181</v>
      </c>
      <c r="I386" t="s">
        <v>1188</v>
      </c>
      <c r="J386" t="s">
        <v>1195</v>
      </c>
      <c r="K386" s="2">
        <v>45600</v>
      </c>
      <c r="L386" s="2" t="str">
        <f t="shared" si="10"/>
        <v>November</v>
      </c>
      <c r="M386">
        <v>3</v>
      </c>
      <c r="N386">
        <v>90000</v>
      </c>
    </row>
    <row r="387" spans="1:14" x14ac:dyDescent="0.3">
      <c r="A387" t="s">
        <v>397</v>
      </c>
      <c r="B387" t="s">
        <v>897</v>
      </c>
      <c r="C387" t="s">
        <v>1083</v>
      </c>
      <c r="D387">
        <v>59</v>
      </c>
      <c r="E387" t="str">
        <f t="shared" si="11"/>
        <v>Senior</v>
      </c>
      <c r="F387" t="s">
        <v>1159</v>
      </c>
      <c r="G387" t="s">
        <v>1161</v>
      </c>
      <c r="H387" t="s">
        <v>1180</v>
      </c>
      <c r="I387" t="s">
        <v>1188</v>
      </c>
      <c r="J387" t="s">
        <v>1196</v>
      </c>
      <c r="K387" s="2">
        <v>45828</v>
      </c>
      <c r="L387" s="2" t="str">
        <f t="shared" ref="L387:L450" si="12">TEXT(K387,"mmmm")</f>
        <v>June</v>
      </c>
      <c r="M387">
        <v>2</v>
      </c>
      <c r="N387">
        <v>60000</v>
      </c>
    </row>
    <row r="388" spans="1:14" x14ac:dyDescent="0.3">
      <c r="A388" t="s">
        <v>398</v>
      </c>
      <c r="B388" t="s">
        <v>898</v>
      </c>
      <c r="C388" t="s">
        <v>1058</v>
      </c>
      <c r="D388">
        <v>44</v>
      </c>
      <c r="E388" t="str">
        <f t="shared" ref="E388:E451" si="13">IF(D388&gt;=50,"Senior", IF(D388&gt;=30,"Adult", "Teenager"))</f>
        <v>Adult</v>
      </c>
      <c r="F388" t="s">
        <v>1159</v>
      </c>
      <c r="G388" t="s">
        <v>1178</v>
      </c>
      <c r="H388" t="s">
        <v>1180</v>
      </c>
      <c r="I388" t="s">
        <v>1188</v>
      </c>
      <c r="J388" t="s">
        <v>1194</v>
      </c>
      <c r="K388" s="2">
        <v>45746</v>
      </c>
      <c r="L388" s="2" t="str">
        <f t="shared" si="12"/>
        <v>March</v>
      </c>
      <c r="M388">
        <v>3</v>
      </c>
      <c r="N388">
        <v>90000</v>
      </c>
    </row>
    <row r="389" spans="1:14" x14ac:dyDescent="0.3">
      <c r="A389" t="s">
        <v>399</v>
      </c>
      <c r="B389" t="s">
        <v>899</v>
      </c>
      <c r="C389" t="s">
        <v>1107</v>
      </c>
      <c r="D389">
        <v>51</v>
      </c>
      <c r="E389" t="str">
        <f t="shared" si="13"/>
        <v>Senior</v>
      </c>
      <c r="F389" t="s">
        <v>1158</v>
      </c>
      <c r="G389" t="s">
        <v>1166</v>
      </c>
      <c r="H389" t="s">
        <v>1184</v>
      </c>
      <c r="I389" t="s">
        <v>1186</v>
      </c>
      <c r="J389" t="s">
        <v>1193</v>
      </c>
      <c r="K389" s="2">
        <v>45864</v>
      </c>
      <c r="L389" s="2" t="str">
        <f t="shared" si="12"/>
        <v>July</v>
      </c>
      <c r="M389">
        <v>2</v>
      </c>
      <c r="N389">
        <v>5000</v>
      </c>
    </row>
    <row r="390" spans="1:14" x14ac:dyDescent="0.3">
      <c r="A390" t="s">
        <v>400</v>
      </c>
      <c r="B390" t="s">
        <v>900</v>
      </c>
      <c r="C390" t="s">
        <v>1019</v>
      </c>
      <c r="D390">
        <v>46</v>
      </c>
      <c r="E390" t="str">
        <f t="shared" si="13"/>
        <v>Adult</v>
      </c>
      <c r="F390" t="s">
        <v>1158</v>
      </c>
      <c r="G390" t="s">
        <v>1174</v>
      </c>
      <c r="H390" t="s">
        <v>1180</v>
      </c>
      <c r="I390" t="s">
        <v>1186</v>
      </c>
      <c r="J390" t="s">
        <v>1196</v>
      </c>
      <c r="K390" s="2">
        <v>45609</v>
      </c>
      <c r="L390" s="2" t="str">
        <f t="shared" si="12"/>
        <v>November</v>
      </c>
      <c r="M390">
        <v>3</v>
      </c>
      <c r="N390">
        <v>7500</v>
      </c>
    </row>
    <row r="391" spans="1:14" x14ac:dyDescent="0.3">
      <c r="A391" t="s">
        <v>401</v>
      </c>
      <c r="B391" t="s">
        <v>901</v>
      </c>
      <c r="C391" t="s">
        <v>1095</v>
      </c>
      <c r="D391">
        <v>29</v>
      </c>
      <c r="E391" t="str">
        <f t="shared" si="13"/>
        <v>Teenager</v>
      </c>
      <c r="F391" t="s">
        <v>1158</v>
      </c>
      <c r="G391" t="s">
        <v>1162</v>
      </c>
      <c r="H391" t="s">
        <v>1181</v>
      </c>
      <c r="I391" t="s">
        <v>1186</v>
      </c>
      <c r="J391" t="s">
        <v>1194</v>
      </c>
      <c r="K391" s="2">
        <v>45670</v>
      </c>
      <c r="L391" s="2" t="str">
        <f t="shared" si="12"/>
        <v>January</v>
      </c>
      <c r="M391">
        <v>3</v>
      </c>
      <c r="N391">
        <v>7500</v>
      </c>
    </row>
    <row r="392" spans="1:14" x14ac:dyDescent="0.3">
      <c r="A392" t="s">
        <v>402</v>
      </c>
      <c r="B392" t="s">
        <v>902</v>
      </c>
      <c r="C392" t="s">
        <v>1076</v>
      </c>
      <c r="D392">
        <v>38</v>
      </c>
      <c r="E392" t="str">
        <f t="shared" si="13"/>
        <v>Adult</v>
      </c>
      <c r="F392" t="s">
        <v>1159</v>
      </c>
      <c r="G392" t="s">
        <v>1176</v>
      </c>
      <c r="H392" t="s">
        <v>1179</v>
      </c>
      <c r="I392" t="s">
        <v>1186</v>
      </c>
      <c r="J392" t="s">
        <v>1194</v>
      </c>
      <c r="K392" s="2">
        <v>45637</v>
      </c>
      <c r="L392" s="2" t="str">
        <f t="shared" si="12"/>
        <v>December</v>
      </c>
      <c r="M392">
        <v>5</v>
      </c>
      <c r="N392">
        <v>12500</v>
      </c>
    </row>
    <row r="393" spans="1:14" x14ac:dyDescent="0.3">
      <c r="A393" t="s">
        <v>403</v>
      </c>
      <c r="B393" t="s">
        <v>903</v>
      </c>
      <c r="C393" t="s">
        <v>1035</v>
      </c>
      <c r="D393">
        <v>62</v>
      </c>
      <c r="E393" t="str">
        <f t="shared" si="13"/>
        <v>Senior</v>
      </c>
      <c r="F393" t="s">
        <v>1158</v>
      </c>
      <c r="G393" t="s">
        <v>1171</v>
      </c>
      <c r="H393" t="s">
        <v>1184</v>
      </c>
      <c r="I393" t="s">
        <v>1189</v>
      </c>
      <c r="J393" t="s">
        <v>1195</v>
      </c>
      <c r="K393" s="2">
        <v>45843</v>
      </c>
      <c r="L393" s="2" t="str">
        <f t="shared" si="12"/>
        <v>July</v>
      </c>
      <c r="M393">
        <v>4</v>
      </c>
      <c r="N393">
        <v>8000</v>
      </c>
    </row>
    <row r="394" spans="1:14" x14ac:dyDescent="0.3">
      <c r="A394" t="s">
        <v>404</v>
      </c>
      <c r="B394" t="s">
        <v>904</v>
      </c>
      <c r="C394" t="s">
        <v>1074</v>
      </c>
      <c r="D394">
        <v>65</v>
      </c>
      <c r="E394" t="str">
        <f t="shared" si="13"/>
        <v>Senior</v>
      </c>
      <c r="F394" t="s">
        <v>1158</v>
      </c>
      <c r="G394" t="s">
        <v>1160</v>
      </c>
      <c r="H394" t="s">
        <v>1179</v>
      </c>
      <c r="I394" t="s">
        <v>1186</v>
      </c>
      <c r="J394" t="s">
        <v>1194</v>
      </c>
      <c r="K394" s="2">
        <v>45661</v>
      </c>
      <c r="L394" s="2" t="str">
        <f t="shared" si="12"/>
        <v>January</v>
      </c>
      <c r="M394">
        <v>3</v>
      </c>
      <c r="N394">
        <v>7500</v>
      </c>
    </row>
    <row r="395" spans="1:14" x14ac:dyDescent="0.3">
      <c r="A395" t="s">
        <v>405</v>
      </c>
      <c r="B395" t="s">
        <v>905</v>
      </c>
      <c r="C395" t="s">
        <v>1098</v>
      </c>
      <c r="D395">
        <v>32</v>
      </c>
      <c r="E395" t="str">
        <f t="shared" si="13"/>
        <v>Adult</v>
      </c>
      <c r="F395" t="s">
        <v>1158</v>
      </c>
      <c r="G395" t="s">
        <v>1166</v>
      </c>
      <c r="H395" t="s">
        <v>1184</v>
      </c>
      <c r="I395" t="s">
        <v>1190</v>
      </c>
      <c r="J395" t="s">
        <v>1193</v>
      </c>
      <c r="K395" s="2">
        <v>45740</v>
      </c>
      <c r="L395" s="2" t="str">
        <f t="shared" si="12"/>
        <v>March</v>
      </c>
      <c r="M395">
        <v>5</v>
      </c>
      <c r="N395">
        <v>75000</v>
      </c>
    </row>
    <row r="396" spans="1:14" x14ac:dyDescent="0.3">
      <c r="A396" t="s">
        <v>406</v>
      </c>
      <c r="B396" t="s">
        <v>906</v>
      </c>
      <c r="C396" t="s">
        <v>1121</v>
      </c>
      <c r="D396">
        <v>26</v>
      </c>
      <c r="E396" t="str">
        <f t="shared" si="13"/>
        <v>Teenager</v>
      </c>
      <c r="F396" t="s">
        <v>1159</v>
      </c>
      <c r="G396" t="s">
        <v>1170</v>
      </c>
      <c r="H396" t="s">
        <v>1183</v>
      </c>
      <c r="I396" t="s">
        <v>1190</v>
      </c>
      <c r="J396" t="s">
        <v>1196</v>
      </c>
      <c r="K396" s="2">
        <v>45791</v>
      </c>
      <c r="L396" s="2" t="str">
        <f t="shared" si="12"/>
        <v>May</v>
      </c>
      <c r="M396">
        <v>4</v>
      </c>
      <c r="N396">
        <v>60000</v>
      </c>
    </row>
    <row r="397" spans="1:14" x14ac:dyDescent="0.3">
      <c r="A397" t="s">
        <v>407</v>
      </c>
      <c r="B397" t="s">
        <v>907</v>
      </c>
      <c r="C397" t="s">
        <v>1133</v>
      </c>
      <c r="D397">
        <v>64</v>
      </c>
      <c r="E397" t="str">
        <f t="shared" si="13"/>
        <v>Senior</v>
      </c>
      <c r="F397" t="s">
        <v>1159</v>
      </c>
      <c r="G397" t="s">
        <v>1167</v>
      </c>
      <c r="H397" t="s">
        <v>1182</v>
      </c>
      <c r="I397" t="s">
        <v>1186</v>
      </c>
      <c r="J397" t="s">
        <v>1193</v>
      </c>
      <c r="K397" s="2">
        <v>45816</v>
      </c>
      <c r="L397" s="2" t="str">
        <f t="shared" si="12"/>
        <v>June</v>
      </c>
      <c r="M397">
        <v>5</v>
      </c>
      <c r="N397">
        <v>12500</v>
      </c>
    </row>
    <row r="398" spans="1:14" x14ac:dyDescent="0.3">
      <c r="A398" t="s">
        <v>408</v>
      </c>
      <c r="B398" t="s">
        <v>908</v>
      </c>
      <c r="C398" t="s">
        <v>1081</v>
      </c>
      <c r="D398">
        <v>29</v>
      </c>
      <c r="E398" t="str">
        <f t="shared" si="13"/>
        <v>Teenager</v>
      </c>
      <c r="F398" t="s">
        <v>1159</v>
      </c>
      <c r="G398" t="s">
        <v>1175</v>
      </c>
      <c r="H398" t="s">
        <v>1183</v>
      </c>
      <c r="I398" t="s">
        <v>1189</v>
      </c>
      <c r="J398" t="s">
        <v>1193</v>
      </c>
      <c r="K398" s="2">
        <v>45645</v>
      </c>
      <c r="L398" s="2" t="str">
        <f t="shared" si="12"/>
        <v>December</v>
      </c>
      <c r="M398">
        <v>3</v>
      </c>
      <c r="N398">
        <v>6000</v>
      </c>
    </row>
    <row r="399" spans="1:14" x14ac:dyDescent="0.3">
      <c r="A399" t="s">
        <v>409</v>
      </c>
      <c r="B399" t="s">
        <v>909</v>
      </c>
      <c r="C399" t="s">
        <v>1075</v>
      </c>
      <c r="D399">
        <v>23</v>
      </c>
      <c r="E399" t="str">
        <f t="shared" si="13"/>
        <v>Teenager</v>
      </c>
      <c r="F399" t="s">
        <v>1159</v>
      </c>
      <c r="G399" t="s">
        <v>1170</v>
      </c>
      <c r="H399" t="s">
        <v>1183</v>
      </c>
      <c r="I399" t="s">
        <v>1189</v>
      </c>
      <c r="J399" t="s">
        <v>1192</v>
      </c>
      <c r="K399" s="2">
        <v>45715</v>
      </c>
      <c r="L399" s="2" t="str">
        <f t="shared" si="12"/>
        <v>February</v>
      </c>
      <c r="M399">
        <v>1</v>
      </c>
      <c r="N399">
        <v>2000</v>
      </c>
    </row>
    <row r="400" spans="1:14" x14ac:dyDescent="0.3">
      <c r="A400" t="s">
        <v>410</v>
      </c>
      <c r="B400" t="s">
        <v>910</v>
      </c>
      <c r="C400" t="s">
        <v>1075</v>
      </c>
      <c r="D400">
        <v>52</v>
      </c>
      <c r="E400" t="str">
        <f t="shared" si="13"/>
        <v>Senior</v>
      </c>
      <c r="F400" t="s">
        <v>1159</v>
      </c>
      <c r="G400" t="s">
        <v>1169</v>
      </c>
      <c r="H400" t="s">
        <v>1182</v>
      </c>
      <c r="I400" t="s">
        <v>1191</v>
      </c>
      <c r="J400" t="s">
        <v>1195</v>
      </c>
      <c r="K400" s="2">
        <v>45736</v>
      </c>
      <c r="L400" s="2" t="str">
        <f t="shared" si="12"/>
        <v>March</v>
      </c>
      <c r="M400">
        <v>5</v>
      </c>
      <c r="N400">
        <v>30000</v>
      </c>
    </row>
    <row r="401" spans="1:14" x14ac:dyDescent="0.3">
      <c r="A401" t="s">
        <v>411</v>
      </c>
      <c r="B401" t="s">
        <v>911</v>
      </c>
      <c r="C401" t="s">
        <v>1034</v>
      </c>
      <c r="D401">
        <v>32</v>
      </c>
      <c r="E401" t="str">
        <f t="shared" si="13"/>
        <v>Adult</v>
      </c>
      <c r="F401" t="s">
        <v>1159</v>
      </c>
      <c r="G401" t="s">
        <v>1177</v>
      </c>
      <c r="H401" t="s">
        <v>1184</v>
      </c>
      <c r="I401" t="s">
        <v>1188</v>
      </c>
      <c r="J401" t="s">
        <v>1194</v>
      </c>
      <c r="K401" s="2">
        <v>45914</v>
      </c>
      <c r="L401" s="2" t="str">
        <f t="shared" si="12"/>
        <v>September</v>
      </c>
      <c r="M401">
        <v>3</v>
      </c>
      <c r="N401">
        <v>90000</v>
      </c>
    </row>
    <row r="402" spans="1:14" x14ac:dyDescent="0.3">
      <c r="A402" t="s">
        <v>412</v>
      </c>
      <c r="B402" t="s">
        <v>912</v>
      </c>
      <c r="C402" t="s">
        <v>1076</v>
      </c>
      <c r="D402">
        <v>36</v>
      </c>
      <c r="E402" t="str">
        <f t="shared" si="13"/>
        <v>Adult</v>
      </c>
      <c r="F402" t="s">
        <v>1159</v>
      </c>
      <c r="G402" t="s">
        <v>1161</v>
      </c>
      <c r="H402" t="s">
        <v>1180</v>
      </c>
      <c r="I402" t="s">
        <v>1186</v>
      </c>
      <c r="J402" t="s">
        <v>1192</v>
      </c>
      <c r="K402" s="2">
        <v>45661</v>
      </c>
      <c r="L402" s="2" t="str">
        <f t="shared" si="12"/>
        <v>January</v>
      </c>
      <c r="M402">
        <v>4</v>
      </c>
      <c r="N402">
        <v>10000</v>
      </c>
    </row>
    <row r="403" spans="1:14" x14ac:dyDescent="0.3">
      <c r="A403" t="s">
        <v>413</v>
      </c>
      <c r="B403" t="s">
        <v>913</v>
      </c>
      <c r="C403" t="s">
        <v>1132</v>
      </c>
      <c r="D403">
        <v>36</v>
      </c>
      <c r="E403" t="str">
        <f t="shared" si="13"/>
        <v>Adult</v>
      </c>
      <c r="F403" t="s">
        <v>1158</v>
      </c>
      <c r="G403" t="s">
        <v>1171</v>
      </c>
      <c r="H403" t="s">
        <v>1184</v>
      </c>
      <c r="I403" t="s">
        <v>1188</v>
      </c>
      <c r="J403" t="s">
        <v>1194</v>
      </c>
      <c r="K403" s="2">
        <v>45629</v>
      </c>
      <c r="L403" s="2" t="str">
        <f t="shared" si="12"/>
        <v>December</v>
      </c>
      <c r="M403">
        <v>5</v>
      </c>
      <c r="N403">
        <v>150000</v>
      </c>
    </row>
    <row r="404" spans="1:14" x14ac:dyDescent="0.3">
      <c r="A404" t="s">
        <v>414</v>
      </c>
      <c r="B404" t="s">
        <v>914</v>
      </c>
      <c r="C404" t="s">
        <v>1101</v>
      </c>
      <c r="D404">
        <v>52</v>
      </c>
      <c r="E404" t="str">
        <f t="shared" si="13"/>
        <v>Senior</v>
      </c>
      <c r="F404" t="s">
        <v>1159</v>
      </c>
      <c r="G404" t="s">
        <v>1170</v>
      </c>
      <c r="H404" t="s">
        <v>1183</v>
      </c>
      <c r="I404" t="s">
        <v>1187</v>
      </c>
      <c r="J404" t="s">
        <v>1195</v>
      </c>
      <c r="K404" s="2">
        <v>45768</v>
      </c>
      <c r="L404" s="2" t="str">
        <f t="shared" si="12"/>
        <v>April</v>
      </c>
      <c r="M404">
        <v>5</v>
      </c>
      <c r="N404">
        <v>275000</v>
      </c>
    </row>
    <row r="405" spans="1:14" x14ac:dyDescent="0.3">
      <c r="A405" t="s">
        <v>415</v>
      </c>
      <c r="B405" t="s">
        <v>915</v>
      </c>
      <c r="C405" t="s">
        <v>1050</v>
      </c>
      <c r="D405">
        <v>41</v>
      </c>
      <c r="E405" t="str">
        <f t="shared" si="13"/>
        <v>Adult</v>
      </c>
      <c r="F405" t="s">
        <v>1159</v>
      </c>
      <c r="G405" t="s">
        <v>1172</v>
      </c>
      <c r="H405" t="s">
        <v>1185</v>
      </c>
      <c r="I405" t="s">
        <v>1190</v>
      </c>
      <c r="J405" t="s">
        <v>1194</v>
      </c>
      <c r="K405" s="2">
        <v>45606</v>
      </c>
      <c r="L405" s="2" t="str">
        <f t="shared" si="12"/>
        <v>November</v>
      </c>
      <c r="M405">
        <v>4</v>
      </c>
      <c r="N405">
        <v>60000</v>
      </c>
    </row>
    <row r="406" spans="1:14" x14ac:dyDescent="0.3">
      <c r="A406" t="s">
        <v>416</v>
      </c>
      <c r="B406" t="s">
        <v>916</v>
      </c>
      <c r="C406" t="s">
        <v>1038</v>
      </c>
      <c r="D406">
        <v>23</v>
      </c>
      <c r="E406" t="str">
        <f t="shared" si="13"/>
        <v>Teenager</v>
      </c>
      <c r="F406" t="s">
        <v>1159</v>
      </c>
      <c r="G406" t="s">
        <v>1174</v>
      </c>
      <c r="H406" t="s">
        <v>1180</v>
      </c>
      <c r="I406" t="s">
        <v>1191</v>
      </c>
      <c r="J406" t="s">
        <v>1196</v>
      </c>
      <c r="K406" s="2">
        <v>45701</v>
      </c>
      <c r="L406" s="2" t="str">
        <f t="shared" si="12"/>
        <v>February</v>
      </c>
      <c r="M406">
        <v>2</v>
      </c>
      <c r="N406">
        <v>12000</v>
      </c>
    </row>
    <row r="407" spans="1:14" x14ac:dyDescent="0.3">
      <c r="A407" t="s">
        <v>417</v>
      </c>
      <c r="B407" t="s">
        <v>917</v>
      </c>
      <c r="C407" t="s">
        <v>1062</v>
      </c>
      <c r="D407">
        <v>34</v>
      </c>
      <c r="E407" t="str">
        <f t="shared" si="13"/>
        <v>Adult</v>
      </c>
      <c r="F407" t="s">
        <v>1158</v>
      </c>
      <c r="G407" t="s">
        <v>1171</v>
      </c>
      <c r="H407" t="s">
        <v>1184</v>
      </c>
      <c r="I407" t="s">
        <v>1190</v>
      </c>
      <c r="J407" t="s">
        <v>1192</v>
      </c>
      <c r="K407" s="2">
        <v>45770</v>
      </c>
      <c r="L407" s="2" t="str">
        <f t="shared" si="12"/>
        <v>April</v>
      </c>
      <c r="M407">
        <v>3</v>
      </c>
      <c r="N407">
        <v>45000</v>
      </c>
    </row>
    <row r="408" spans="1:14" x14ac:dyDescent="0.3">
      <c r="A408" t="s">
        <v>418</v>
      </c>
      <c r="B408" t="s">
        <v>918</v>
      </c>
      <c r="C408" t="s">
        <v>1058</v>
      </c>
      <c r="D408">
        <v>29</v>
      </c>
      <c r="E408" t="str">
        <f t="shared" si="13"/>
        <v>Teenager</v>
      </c>
      <c r="F408" t="s">
        <v>1158</v>
      </c>
      <c r="G408" t="s">
        <v>1174</v>
      </c>
      <c r="H408" t="s">
        <v>1180</v>
      </c>
      <c r="I408" t="s">
        <v>1188</v>
      </c>
      <c r="J408" t="s">
        <v>1196</v>
      </c>
      <c r="K408" s="2">
        <v>45839</v>
      </c>
      <c r="L408" s="2" t="str">
        <f t="shared" si="12"/>
        <v>July</v>
      </c>
      <c r="M408">
        <v>4</v>
      </c>
      <c r="N408">
        <v>120000</v>
      </c>
    </row>
    <row r="409" spans="1:14" x14ac:dyDescent="0.3">
      <c r="A409" t="s">
        <v>419</v>
      </c>
      <c r="B409" t="s">
        <v>919</v>
      </c>
      <c r="C409" t="s">
        <v>1152</v>
      </c>
      <c r="D409">
        <v>44</v>
      </c>
      <c r="E409" t="str">
        <f t="shared" si="13"/>
        <v>Adult</v>
      </c>
      <c r="F409" t="s">
        <v>1159</v>
      </c>
      <c r="G409" t="s">
        <v>1178</v>
      </c>
      <c r="H409" t="s">
        <v>1180</v>
      </c>
      <c r="I409" t="s">
        <v>1191</v>
      </c>
      <c r="J409" t="s">
        <v>1196</v>
      </c>
      <c r="K409" s="2">
        <v>45658</v>
      </c>
      <c r="L409" s="2" t="str">
        <f t="shared" si="12"/>
        <v>January</v>
      </c>
      <c r="M409">
        <v>5</v>
      </c>
      <c r="N409">
        <v>30000</v>
      </c>
    </row>
    <row r="410" spans="1:14" x14ac:dyDescent="0.3">
      <c r="A410" t="s">
        <v>420</v>
      </c>
      <c r="B410" t="s">
        <v>920</v>
      </c>
      <c r="C410" t="s">
        <v>1090</v>
      </c>
      <c r="D410">
        <v>43</v>
      </c>
      <c r="E410" t="str">
        <f t="shared" si="13"/>
        <v>Adult</v>
      </c>
      <c r="F410" t="s">
        <v>1159</v>
      </c>
      <c r="G410" t="s">
        <v>1169</v>
      </c>
      <c r="H410" t="s">
        <v>1182</v>
      </c>
      <c r="I410" t="s">
        <v>1191</v>
      </c>
      <c r="J410" t="s">
        <v>1195</v>
      </c>
      <c r="K410" s="2">
        <v>45702</v>
      </c>
      <c r="L410" s="2" t="str">
        <f t="shared" si="12"/>
        <v>February</v>
      </c>
      <c r="M410">
        <v>4</v>
      </c>
      <c r="N410">
        <v>24000</v>
      </c>
    </row>
    <row r="411" spans="1:14" x14ac:dyDescent="0.3">
      <c r="A411" t="s">
        <v>421</v>
      </c>
      <c r="B411" t="s">
        <v>921</v>
      </c>
      <c r="C411" t="s">
        <v>1107</v>
      </c>
      <c r="D411">
        <v>25</v>
      </c>
      <c r="E411" t="str">
        <f t="shared" si="13"/>
        <v>Teenager</v>
      </c>
      <c r="F411" t="s">
        <v>1158</v>
      </c>
      <c r="G411" t="s">
        <v>1168</v>
      </c>
      <c r="H411" t="s">
        <v>1185</v>
      </c>
      <c r="I411" t="s">
        <v>1189</v>
      </c>
      <c r="J411" t="s">
        <v>1194</v>
      </c>
      <c r="K411" s="2">
        <v>45787</v>
      </c>
      <c r="L411" s="2" t="str">
        <f t="shared" si="12"/>
        <v>May</v>
      </c>
      <c r="M411">
        <v>1</v>
      </c>
      <c r="N411">
        <v>2000</v>
      </c>
    </row>
    <row r="412" spans="1:14" x14ac:dyDescent="0.3">
      <c r="A412" t="s">
        <v>422</v>
      </c>
      <c r="B412" t="s">
        <v>922</v>
      </c>
      <c r="C412" t="s">
        <v>1069</v>
      </c>
      <c r="D412">
        <v>24</v>
      </c>
      <c r="E412" t="str">
        <f t="shared" si="13"/>
        <v>Teenager</v>
      </c>
      <c r="F412" t="s">
        <v>1159</v>
      </c>
      <c r="G412" t="s">
        <v>1176</v>
      </c>
      <c r="H412" t="s">
        <v>1179</v>
      </c>
      <c r="I412" t="s">
        <v>1188</v>
      </c>
      <c r="J412" t="s">
        <v>1192</v>
      </c>
      <c r="K412" s="2">
        <v>45894</v>
      </c>
      <c r="L412" s="2" t="str">
        <f t="shared" si="12"/>
        <v>August</v>
      </c>
      <c r="M412">
        <v>4</v>
      </c>
      <c r="N412">
        <v>120000</v>
      </c>
    </row>
    <row r="413" spans="1:14" x14ac:dyDescent="0.3">
      <c r="A413" t="s">
        <v>423</v>
      </c>
      <c r="B413" t="s">
        <v>923</v>
      </c>
      <c r="C413" t="s">
        <v>1032</v>
      </c>
      <c r="D413">
        <v>54</v>
      </c>
      <c r="E413" t="str">
        <f t="shared" si="13"/>
        <v>Senior</v>
      </c>
      <c r="F413" t="s">
        <v>1158</v>
      </c>
      <c r="G413" t="s">
        <v>1175</v>
      </c>
      <c r="H413" t="s">
        <v>1183</v>
      </c>
      <c r="I413" t="s">
        <v>1190</v>
      </c>
      <c r="J413" t="s">
        <v>1193</v>
      </c>
      <c r="K413" s="2">
        <v>45798</v>
      </c>
      <c r="L413" s="2" t="str">
        <f t="shared" si="12"/>
        <v>May</v>
      </c>
      <c r="M413">
        <v>3</v>
      </c>
      <c r="N413">
        <v>45000</v>
      </c>
    </row>
    <row r="414" spans="1:14" x14ac:dyDescent="0.3">
      <c r="A414" t="s">
        <v>424</v>
      </c>
      <c r="B414" t="s">
        <v>924</v>
      </c>
      <c r="C414" t="s">
        <v>1028</v>
      </c>
      <c r="D414">
        <v>22</v>
      </c>
      <c r="E414" t="str">
        <f t="shared" si="13"/>
        <v>Teenager</v>
      </c>
      <c r="F414" t="s">
        <v>1159</v>
      </c>
      <c r="G414" t="s">
        <v>1168</v>
      </c>
      <c r="H414" t="s">
        <v>1185</v>
      </c>
      <c r="I414" t="s">
        <v>1186</v>
      </c>
      <c r="J414" t="s">
        <v>1193</v>
      </c>
      <c r="K414" s="2">
        <v>45827</v>
      </c>
      <c r="L414" s="2" t="str">
        <f t="shared" si="12"/>
        <v>June</v>
      </c>
      <c r="M414">
        <v>5</v>
      </c>
      <c r="N414">
        <v>12500</v>
      </c>
    </row>
    <row r="415" spans="1:14" x14ac:dyDescent="0.3">
      <c r="A415" t="s">
        <v>425</v>
      </c>
      <c r="B415" t="s">
        <v>925</v>
      </c>
      <c r="C415" t="s">
        <v>1044</v>
      </c>
      <c r="D415">
        <v>55</v>
      </c>
      <c r="E415" t="str">
        <f t="shared" si="13"/>
        <v>Senior</v>
      </c>
      <c r="F415" t="s">
        <v>1159</v>
      </c>
      <c r="G415" t="s">
        <v>1171</v>
      </c>
      <c r="H415" t="s">
        <v>1184</v>
      </c>
      <c r="I415" t="s">
        <v>1190</v>
      </c>
      <c r="J415" t="s">
        <v>1194</v>
      </c>
      <c r="K415" s="2">
        <v>45621</v>
      </c>
      <c r="L415" s="2" t="str">
        <f t="shared" si="12"/>
        <v>November</v>
      </c>
      <c r="M415">
        <v>2</v>
      </c>
      <c r="N415">
        <v>30000</v>
      </c>
    </row>
    <row r="416" spans="1:14" x14ac:dyDescent="0.3">
      <c r="A416" t="s">
        <v>426</v>
      </c>
      <c r="B416" t="s">
        <v>926</v>
      </c>
      <c r="C416" t="s">
        <v>1153</v>
      </c>
      <c r="D416">
        <v>29</v>
      </c>
      <c r="E416" t="str">
        <f t="shared" si="13"/>
        <v>Teenager</v>
      </c>
      <c r="F416" t="s">
        <v>1158</v>
      </c>
      <c r="G416" t="s">
        <v>1162</v>
      </c>
      <c r="H416" t="s">
        <v>1181</v>
      </c>
      <c r="I416" t="s">
        <v>1189</v>
      </c>
      <c r="J416" t="s">
        <v>1194</v>
      </c>
      <c r="K416" s="2">
        <v>45656</v>
      </c>
      <c r="L416" s="2" t="str">
        <f t="shared" si="12"/>
        <v>December</v>
      </c>
      <c r="M416">
        <v>4</v>
      </c>
      <c r="N416">
        <v>8000</v>
      </c>
    </row>
    <row r="417" spans="1:14" x14ac:dyDescent="0.3">
      <c r="A417" t="s">
        <v>427</v>
      </c>
      <c r="B417" t="s">
        <v>927</v>
      </c>
      <c r="C417" t="s">
        <v>1043</v>
      </c>
      <c r="D417">
        <v>32</v>
      </c>
      <c r="E417" t="str">
        <f t="shared" si="13"/>
        <v>Adult</v>
      </c>
      <c r="F417" t="s">
        <v>1159</v>
      </c>
      <c r="G417" t="s">
        <v>1169</v>
      </c>
      <c r="H417" t="s">
        <v>1182</v>
      </c>
      <c r="I417" t="s">
        <v>1189</v>
      </c>
      <c r="J417" t="s">
        <v>1194</v>
      </c>
      <c r="K417" s="2">
        <v>45655</v>
      </c>
      <c r="L417" s="2" t="str">
        <f t="shared" si="12"/>
        <v>December</v>
      </c>
      <c r="M417">
        <v>4</v>
      </c>
      <c r="N417">
        <v>8000</v>
      </c>
    </row>
    <row r="418" spans="1:14" x14ac:dyDescent="0.3">
      <c r="A418" t="s">
        <v>428</v>
      </c>
      <c r="B418" t="s">
        <v>928</v>
      </c>
      <c r="C418" t="s">
        <v>1150</v>
      </c>
      <c r="D418">
        <v>34</v>
      </c>
      <c r="E418" t="str">
        <f t="shared" si="13"/>
        <v>Adult</v>
      </c>
      <c r="F418" t="s">
        <v>1159</v>
      </c>
      <c r="G418" t="s">
        <v>1166</v>
      </c>
      <c r="H418" t="s">
        <v>1184</v>
      </c>
      <c r="I418" t="s">
        <v>1186</v>
      </c>
      <c r="J418" t="s">
        <v>1192</v>
      </c>
      <c r="K418" s="2">
        <v>45672</v>
      </c>
      <c r="L418" s="2" t="str">
        <f t="shared" si="12"/>
        <v>January</v>
      </c>
      <c r="M418">
        <v>1</v>
      </c>
      <c r="N418">
        <v>2500</v>
      </c>
    </row>
    <row r="419" spans="1:14" x14ac:dyDescent="0.3">
      <c r="A419" t="s">
        <v>429</v>
      </c>
      <c r="B419" t="s">
        <v>929</v>
      </c>
      <c r="C419" t="s">
        <v>1114</v>
      </c>
      <c r="D419">
        <v>49</v>
      </c>
      <c r="E419" t="str">
        <f t="shared" si="13"/>
        <v>Adult</v>
      </c>
      <c r="F419" t="s">
        <v>1159</v>
      </c>
      <c r="G419" t="s">
        <v>1170</v>
      </c>
      <c r="H419" t="s">
        <v>1183</v>
      </c>
      <c r="I419" t="s">
        <v>1186</v>
      </c>
      <c r="J419" t="s">
        <v>1194</v>
      </c>
      <c r="K419" s="2">
        <v>45756</v>
      </c>
      <c r="L419" s="2" t="str">
        <f t="shared" si="12"/>
        <v>April</v>
      </c>
      <c r="M419">
        <v>4</v>
      </c>
      <c r="N419">
        <v>10000</v>
      </c>
    </row>
    <row r="420" spans="1:14" x14ac:dyDescent="0.3">
      <c r="A420" t="s">
        <v>430</v>
      </c>
      <c r="B420" t="s">
        <v>930</v>
      </c>
      <c r="C420" t="s">
        <v>1062</v>
      </c>
      <c r="D420">
        <v>22</v>
      </c>
      <c r="E420" t="str">
        <f t="shared" si="13"/>
        <v>Teenager</v>
      </c>
      <c r="F420" t="s">
        <v>1158</v>
      </c>
      <c r="G420" t="s">
        <v>1169</v>
      </c>
      <c r="H420" t="s">
        <v>1182</v>
      </c>
      <c r="I420" t="s">
        <v>1188</v>
      </c>
      <c r="J420" t="s">
        <v>1193</v>
      </c>
      <c r="K420" s="2">
        <v>45924</v>
      </c>
      <c r="L420" s="2" t="str">
        <f t="shared" si="12"/>
        <v>September</v>
      </c>
      <c r="M420">
        <v>3</v>
      </c>
      <c r="N420">
        <v>90000</v>
      </c>
    </row>
    <row r="421" spans="1:14" x14ac:dyDescent="0.3">
      <c r="A421" t="s">
        <v>431</v>
      </c>
      <c r="B421" t="s">
        <v>931</v>
      </c>
      <c r="C421" t="s">
        <v>1106</v>
      </c>
      <c r="D421">
        <v>59</v>
      </c>
      <c r="E421" t="str">
        <f t="shared" si="13"/>
        <v>Senior</v>
      </c>
      <c r="F421" t="s">
        <v>1159</v>
      </c>
      <c r="G421" t="s">
        <v>1162</v>
      </c>
      <c r="H421" t="s">
        <v>1181</v>
      </c>
      <c r="I421" t="s">
        <v>1188</v>
      </c>
      <c r="J421" t="s">
        <v>1193</v>
      </c>
      <c r="K421" s="2">
        <v>45925</v>
      </c>
      <c r="L421" s="2" t="str">
        <f t="shared" si="12"/>
        <v>September</v>
      </c>
      <c r="M421">
        <v>3</v>
      </c>
      <c r="N421">
        <v>90000</v>
      </c>
    </row>
    <row r="422" spans="1:14" x14ac:dyDescent="0.3">
      <c r="A422" t="s">
        <v>432</v>
      </c>
      <c r="B422" t="s">
        <v>932</v>
      </c>
      <c r="C422" t="s">
        <v>1115</v>
      </c>
      <c r="D422">
        <v>46</v>
      </c>
      <c r="E422" t="str">
        <f t="shared" si="13"/>
        <v>Adult</v>
      </c>
      <c r="F422" t="s">
        <v>1158</v>
      </c>
      <c r="G422" t="s">
        <v>1162</v>
      </c>
      <c r="H422" t="s">
        <v>1181</v>
      </c>
      <c r="I422" t="s">
        <v>1187</v>
      </c>
      <c r="J422" t="s">
        <v>1196</v>
      </c>
      <c r="K422" s="2">
        <v>45946</v>
      </c>
      <c r="L422" s="2" t="str">
        <f t="shared" si="12"/>
        <v>October</v>
      </c>
      <c r="M422">
        <v>5</v>
      </c>
      <c r="N422">
        <v>275000</v>
      </c>
    </row>
    <row r="423" spans="1:14" x14ac:dyDescent="0.3">
      <c r="A423" t="s">
        <v>433</v>
      </c>
      <c r="B423" t="s">
        <v>933</v>
      </c>
      <c r="C423" t="s">
        <v>1017</v>
      </c>
      <c r="D423">
        <v>42</v>
      </c>
      <c r="E423" t="str">
        <f t="shared" si="13"/>
        <v>Adult</v>
      </c>
      <c r="F423" t="s">
        <v>1159</v>
      </c>
      <c r="G423" t="s">
        <v>1162</v>
      </c>
      <c r="H423" t="s">
        <v>1181</v>
      </c>
      <c r="I423" t="s">
        <v>1187</v>
      </c>
      <c r="J423" t="s">
        <v>1196</v>
      </c>
      <c r="K423" s="2">
        <v>45836</v>
      </c>
      <c r="L423" s="2" t="str">
        <f t="shared" si="12"/>
        <v>June</v>
      </c>
      <c r="M423">
        <v>3</v>
      </c>
      <c r="N423">
        <v>165000</v>
      </c>
    </row>
    <row r="424" spans="1:14" x14ac:dyDescent="0.3">
      <c r="A424" t="s">
        <v>434</v>
      </c>
      <c r="B424" t="s">
        <v>934</v>
      </c>
      <c r="C424" t="s">
        <v>1118</v>
      </c>
      <c r="D424">
        <v>59</v>
      </c>
      <c r="E424" t="str">
        <f t="shared" si="13"/>
        <v>Senior</v>
      </c>
      <c r="F424" t="s">
        <v>1158</v>
      </c>
      <c r="G424" t="s">
        <v>1176</v>
      </c>
      <c r="H424" t="s">
        <v>1179</v>
      </c>
      <c r="I424" t="s">
        <v>1190</v>
      </c>
      <c r="J424" t="s">
        <v>1195</v>
      </c>
      <c r="K424" s="2">
        <v>45701</v>
      </c>
      <c r="L424" s="2" t="str">
        <f t="shared" si="12"/>
        <v>February</v>
      </c>
      <c r="M424">
        <v>2</v>
      </c>
      <c r="N424">
        <v>30000</v>
      </c>
    </row>
    <row r="425" spans="1:14" x14ac:dyDescent="0.3">
      <c r="A425" t="s">
        <v>435</v>
      </c>
      <c r="B425" t="s">
        <v>935</v>
      </c>
      <c r="C425" t="s">
        <v>1079</v>
      </c>
      <c r="D425">
        <v>48</v>
      </c>
      <c r="E425" t="str">
        <f t="shared" si="13"/>
        <v>Adult</v>
      </c>
      <c r="F425" t="s">
        <v>1158</v>
      </c>
      <c r="G425" t="s">
        <v>1167</v>
      </c>
      <c r="H425" t="s">
        <v>1182</v>
      </c>
      <c r="I425" t="s">
        <v>1188</v>
      </c>
      <c r="J425" t="s">
        <v>1194</v>
      </c>
      <c r="K425" s="2">
        <v>45811</v>
      </c>
      <c r="L425" s="2" t="str">
        <f t="shared" si="12"/>
        <v>June</v>
      </c>
      <c r="M425">
        <v>5</v>
      </c>
      <c r="N425">
        <v>150000</v>
      </c>
    </row>
    <row r="426" spans="1:14" x14ac:dyDescent="0.3">
      <c r="A426" t="s">
        <v>436</v>
      </c>
      <c r="B426" t="s">
        <v>936</v>
      </c>
      <c r="C426" t="s">
        <v>1154</v>
      </c>
      <c r="D426">
        <v>53</v>
      </c>
      <c r="E426" t="str">
        <f t="shared" si="13"/>
        <v>Senior</v>
      </c>
      <c r="F426" t="s">
        <v>1158</v>
      </c>
      <c r="G426" t="s">
        <v>1165</v>
      </c>
      <c r="H426" t="s">
        <v>1179</v>
      </c>
      <c r="I426" t="s">
        <v>1187</v>
      </c>
      <c r="J426" t="s">
        <v>1195</v>
      </c>
      <c r="K426" s="2">
        <v>45807</v>
      </c>
      <c r="L426" s="2" t="str">
        <f t="shared" si="12"/>
        <v>May</v>
      </c>
      <c r="M426">
        <v>3</v>
      </c>
      <c r="N426">
        <v>165000</v>
      </c>
    </row>
    <row r="427" spans="1:14" x14ac:dyDescent="0.3">
      <c r="A427" t="s">
        <v>437</v>
      </c>
      <c r="B427" t="s">
        <v>937</v>
      </c>
      <c r="C427" t="s">
        <v>1098</v>
      </c>
      <c r="D427">
        <v>52</v>
      </c>
      <c r="E427" t="str">
        <f t="shared" si="13"/>
        <v>Senior</v>
      </c>
      <c r="F427" t="s">
        <v>1159</v>
      </c>
      <c r="G427" t="s">
        <v>1173</v>
      </c>
      <c r="H427" t="s">
        <v>1185</v>
      </c>
      <c r="I427" t="s">
        <v>1189</v>
      </c>
      <c r="J427" t="s">
        <v>1194</v>
      </c>
      <c r="K427" s="2">
        <v>45938</v>
      </c>
      <c r="L427" s="2" t="str">
        <f t="shared" si="12"/>
        <v>October</v>
      </c>
      <c r="M427">
        <v>2</v>
      </c>
      <c r="N427">
        <v>4000</v>
      </c>
    </row>
    <row r="428" spans="1:14" x14ac:dyDescent="0.3">
      <c r="A428" t="s">
        <v>438</v>
      </c>
      <c r="B428" t="s">
        <v>938</v>
      </c>
      <c r="C428" t="s">
        <v>1067</v>
      </c>
      <c r="D428">
        <v>34</v>
      </c>
      <c r="E428" t="str">
        <f t="shared" si="13"/>
        <v>Adult</v>
      </c>
      <c r="F428" t="s">
        <v>1158</v>
      </c>
      <c r="G428" t="s">
        <v>1163</v>
      </c>
      <c r="H428" t="s">
        <v>1182</v>
      </c>
      <c r="I428" t="s">
        <v>1187</v>
      </c>
      <c r="J428" t="s">
        <v>1193</v>
      </c>
      <c r="K428" s="2">
        <v>45659</v>
      </c>
      <c r="L428" s="2" t="str">
        <f t="shared" si="12"/>
        <v>January</v>
      </c>
      <c r="M428">
        <v>1</v>
      </c>
      <c r="N428">
        <v>55000</v>
      </c>
    </row>
    <row r="429" spans="1:14" x14ac:dyDescent="0.3">
      <c r="A429" t="s">
        <v>439</v>
      </c>
      <c r="B429" t="s">
        <v>939</v>
      </c>
      <c r="C429" t="s">
        <v>1106</v>
      </c>
      <c r="D429">
        <v>29</v>
      </c>
      <c r="E429" t="str">
        <f t="shared" si="13"/>
        <v>Teenager</v>
      </c>
      <c r="F429" t="s">
        <v>1158</v>
      </c>
      <c r="G429" t="s">
        <v>1162</v>
      </c>
      <c r="H429" t="s">
        <v>1181</v>
      </c>
      <c r="I429" t="s">
        <v>1189</v>
      </c>
      <c r="J429" t="s">
        <v>1192</v>
      </c>
      <c r="K429" s="2">
        <v>45835</v>
      </c>
      <c r="L429" s="2" t="str">
        <f t="shared" si="12"/>
        <v>June</v>
      </c>
      <c r="M429">
        <v>1</v>
      </c>
      <c r="N429">
        <v>2000</v>
      </c>
    </row>
    <row r="430" spans="1:14" x14ac:dyDescent="0.3">
      <c r="A430" t="s">
        <v>440</v>
      </c>
      <c r="B430" t="s">
        <v>940</v>
      </c>
      <c r="C430" t="s">
        <v>1117</v>
      </c>
      <c r="D430">
        <v>19</v>
      </c>
      <c r="E430" t="str">
        <f t="shared" si="13"/>
        <v>Teenager</v>
      </c>
      <c r="F430" t="s">
        <v>1159</v>
      </c>
      <c r="G430" t="s">
        <v>1169</v>
      </c>
      <c r="H430" t="s">
        <v>1182</v>
      </c>
      <c r="I430" t="s">
        <v>1190</v>
      </c>
      <c r="J430" t="s">
        <v>1194</v>
      </c>
      <c r="K430" s="2">
        <v>45878</v>
      </c>
      <c r="L430" s="2" t="str">
        <f t="shared" si="12"/>
        <v>August</v>
      </c>
      <c r="M430">
        <v>5</v>
      </c>
      <c r="N430">
        <v>75000</v>
      </c>
    </row>
    <row r="431" spans="1:14" x14ac:dyDescent="0.3">
      <c r="A431" t="s">
        <v>441</v>
      </c>
      <c r="B431" t="s">
        <v>941</v>
      </c>
      <c r="C431" t="s">
        <v>1012</v>
      </c>
      <c r="D431">
        <v>33</v>
      </c>
      <c r="E431" t="str">
        <f t="shared" si="13"/>
        <v>Adult</v>
      </c>
      <c r="F431" t="s">
        <v>1159</v>
      </c>
      <c r="G431" t="s">
        <v>1162</v>
      </c>
      <c r="H431" t="s">
        <v>1181</v>
      </c>
      <c r="I431" t="s">
        <v>1188</v>
      </c>
      <c r="J431" t="s">
        <v>1195</v>
      </c>
      <c r="K431" s="2">
        <v>45700</v>
      </c>
      <c r="L431" s="2" t="str">
        <f t="shared" si="12"/>
        <v>February</v>
      </c>
      <c r="M431">
        <v>2</v>
      </c>
      <c r="N431">
        <v>60000</v>
      </c>
    </row>
    <row r="432" spans="1:14" x14ac:dyDescent="0.3">
      <c r="A432" t="s">
        <v>442</v>
      </c>
      <c r="B432" t="s">
        <v>942</v>
      </c>
      <c r="C432" t="s">
        <v>1101</v>
      </c>
      <c r="D432">
        <v>55</v>
      </c>
      <c r="E432" t="str">
        <f t="shared" si="13"/>
        <v>Senior</v>
      </c>
      <c r="F432" t="s">
        <v>1159</v>
      </c>
      <c r="G432" t="s">
        <v>1168</v>
      </c>
      <c r="H432" t="s">
        <v>1185</v>
      </c>
      <c r="I432" t="s">
        <v>1190</v>
      </c>
      <c r="J432" t="s">
        <v>1196</v>
      </c>
      <c r="K432" s="2">
        <v>45932</v>
      </c>
      <c r="L432" s="2" t="str">
        <f t="shared" si="12"/>
        <v>October</v>
      </c>
      <c r="M432">
        <v>3</v>
      </c>
      <c r="N432">
        <v>45000</v>
      </c>
    </row>
    <row r="433" spans="1:14" x14ac:dyDescent="0.3">
      <c r="A433" t="s">
        <v>443</v>
      </c>
      <c r="B433" t="s">
        <v>943</v>
      </c>
      <c r="C433" t="s">
        <v>1135</v>
      </c>
      <c r="D433">
        <v>46</v>
      </c>
      <c r="E433" t="str">
        <f t="shared" si="13"/>
        <v>Adult</v>
      </c>
      <c r="F433" t="s">
        <v>1158</v>
      </c>
      <c r="G433" t="s">
        <v>1162</v>
      </c>
      <c r="H433" t="s">
        <v>1181</v>
      </c>
      <c r="I433" t="s">
        <v>1189</v>
      </c>
      <c r="J433" t="s">
        <v>1195</v>
      </c>
      <c r="K433" s="2">
        <v>45839</v>
      </c>
      <c r="L433" s="2" t="str">
        <f t="shared" si="12"/>
        <v>July</v>
      </c>
      <c r="M433">
        <v>3</v>
      </c>
      <c r="N433">
        <v>6000</v>
      </c>
    </row>
    <row r="434" spans="1:14" x14ac:dyDescent="0.3">
      <c r="A434" t="s">
        <v>444</v>
      </c>
      <c r="B434" t="s">
        <v>944</v>
      </c>
      <c r="C434" t="s">
        <v>1069</v>
      </c>
      <c r="D434">
        <v>48</v>
      </c>
      <c r="E434" t="str">
        <f t="shared" si="13"/>
        <v>Adult</v>
      </c>
      <c r="F434" t="s">
        <v>1159</v>
      </c>
      <c r="G434" t="s">
        <v>1164</v>
      </c>
      <c r="H434" t="s">
        <v>1183</v>
      </c>
      <c r="I434" t="s">
        <v>1188</v>
      </c>
      <c r="J434" t="s">
        <v>1195</v>
      </c>
      <c r="K434" s="2">
        <v>45905</v>
      </c>
      <c r="L434" s="2" t="str">
        <f t="shared" si="12"/>
        <v>September</v>
      </c>
      <c r="M434">
        <v>1</v>
      </c>
      <c r="N434">
        <v>30000</v>
      </c>
    </row>
    <row r="435" spans="1:14" x14ac:dyDescent="0.3">
      <c r="A435" t="s">
        <v>445</v>
      </c>
      <c r="B435" t="s">
        <v>945</v>
      </c>
      <c r="C435" t="s">
        <v>1076</v>
      </c>
      <c r="D435">
        <v>44</v>
      </c>
      <c r="E435" t="str">
        <f t="shared" si="13"/>
        <v>Adult</v>
      </c>
      <c r="F435" t="s">
        <v>1158</v>
      </c>
      <c r="G435" t="s">
        <v>1170</v>
      </c>
      <c r="H435" t="s">
        <v>1183</v>
      </c>
      <c r="I435" t="s">
        <v>1186</v>
      </c>
      <c r="J435" t="s">
        <v>1195</v>
      </c>
      <c r="K435" s="2">
        <v>45585</v>
      </c>
      <c r="L435" s="2" t="str">
        <f t="shared" si="12"/>
        <v>October</v>
      </c>
      <c r="M435">
        <v>1</v>
      </c>
      <c r="N435">
        <v>2500</v>
      </c>
    </row>
    <row r="436" spans="1:14" x14ac:dyDescent="0.3">
      <c r="A436" t="s">
        <v>446</v>
      </c>
      <c r="B436" t="s">
        <v>946</v>
      </c>
      <c r="C436" t="s">
        <v>1117</v>
      </c>
      <c r="D436">
        <v>49</v>
      </c>
      <c r="E436" t="str">
        <f t="shared" si="13"/>
        <v>Adult</v>
      </c>
      <c r="F436" t="s">
        <v>1158</v>
      </c>
      <c r="G436" t="s">
        <v>1168</v>
      </c>
      <c r="H436" t="s">
        <v>1185</v>
      </c>
      <c r="I436" t="s">
        <v>1191</v>
      </c>
      <c r="J436" t="s">
        <v>1195</v>
      </c>
      <c r="K436" s="2">
        <v>45793</v>
      </c>
      <c r="L436" s="2" t="str">
        <f t="shared" si="12"/>
        <v>May</v>
      </c>
      <c r="M436">
        <v>1</v>
      </c>
      <c r="N436">
        <v>6000</v>
      </c>
    </row>
    <row r="437" spans="1:14" x14ac:dyDescent="0.3">
      <c r="A437" t="s">
        <v>447</v>
      </c>
      <c r="B437" t="s">
        <v>947</v>
      </c>
      <c r="C437" t="s">
        <v>1016</v>
      </c>
      <c r="D437">
        <v>33</v>
      </c>
      <c r="E437" t="str">
        <f t="shared" si="13"/>
        <v>Adult</v>
      </c>
      <c r="F437" t="s">
        <v>1159</v>
      </c>
      <c r="G437" t="s">
        <v>1173</v>
      </c>
      <c r="H437" t="s">
        <v>1185</v>
      </c>
      <c r="I437" t="s">
        <v>1188</v>
      </c>
      <c r="J437" t="s">
        <v>1195</v>
      </c>
      <c r="K437" s="2">
        <v>45699</v>
      </c>
      <c r="L437" s="2" t="str">
        <f t="shared" si="12"/>
        <v>February</v>
      </c>
      <c r="M437">
        <v>3</v>
      </c>
      <c r="N437">
        <v>90000</v>
      </c>
    </row>
    <row r="438" spans="1:14" x14ac:dyDescent="0.3">
      <c r="A438" t="s">
        <v>448</v>
      </c>
      <c r="B438" t="s">
        <v>948</v>
      </c>
      <c r="C438" t="s">
        <v>1100</v>
      </c>
      <c r="D438">
        <v>18</v>
      </c>
      <c r="E438" t="str">
        <f t="shared" si="13"/>
        <v>Teenager</v>
      </c>
      <c r="F438" t="s">
        <v>1159</v>
      </c>
      <c r="G438" t="s">
        <v>1176</v>
      </c>
      <c r="H438" t="s">
        <v>1179</v>
      </c>
      <c r="I438" t="s">
        <v>1188</v>
      </c>
      <c r="J438" t="s">
        <v>1193</v>
      </c>
      <c r="K438" s="2">
        <v>45793</v>
      </c>
      <c r="L438" s="2" t="str">
        <f t="shared" si="12"/>
        <v>May</v>
      </c>
      <c r="M438">
        <v>1</v>
      </c>
      <c r="N438">
        <v>30000</v>
      </c>
    </row>
    <row r="439" spans="1:14" x14ac:dyDescent="0.3">
      <c r="A439" t="s">
        <v>449</v>
      </c>
      <c r="B439" t="s">
        <v>949</v>
      </c>
      <c r="C439" t="s">
        <v>1126</v>
      </c>
      <c r="D439">
        <v>19</v>
      </c>
      <c r="E439" t="str">
        <f t="shared" si="13"/>
        <v>Teenager</v>
      </c>
      <c r="F439" t="s">
        <v>1158</v>
      </c>
      <c r="G439" t="s">
        <v>1167</v>
      </c>
      <c r="H439" t="s">
        <v>1182</v>
      </c>
      <c r="I439" t="s">
        <v>1190</v>
      </c>
      <c r="J439" t="s">
        <v>1194</v>
      </c>
      <c r="K439" s="2">
        <v>45646</v>
      </c>
      <c r="L439" s="2" t="str">
        <f t="shared" si="12"/>
        <v>December</v>
      </c>
      <c r="M439">
        <v>1</v>
      </c>
      <c r="N439">
        <v>15000</v>
      </c>
    </row>
    <row r="440" spans="1:14" x14ac:dyDescent="0.3">
      <c r="A440" t="s">
        <v>450</v>
      </c>
      <c r="B440" t="s">
        <v>950</v>
      </c>
      <c r="C440" t="s">
        <v>1090</v>
      </c>
      <c r="D440">
        <v>26</v>
      </c>
      <c r="E440" t="str">
        <f t="shared" si="13"/>
        <v>Teenager</v>
      </c>
      <c r="F440" t="s">
        <v>1158</v>
      </c>
      <c r="G440" t="s">
        <v>1160</v>
      </c>
      <c r="H440" t="s">
        <v>1179</v>
      </c>
      <c r="I440" t="s">
        <v>1188</v>
      </c>
      <c r="J440" t="s">
        <v>1195</v>
      </c>
      <c r="K440" s="2">
        <v>45940</v>
      </c>
      <c r="L440" s="2" t="str">
        <f t="shared" si="12"/>
        <v>October</v>
      </c>
      <c r="M440">
        <v>1</v>
      </c>
      <c r="N440">
        <v>30000</v>
      </c>
    </row>
    <row r="441" spans="1:14" x14ac:dyDescent="0.3">
      <c r="A441" t="s">
        <v>451</v>
      </c>
      <c r="B441" t="s">
        <v>951</v>
      </c>
      <c r="C441" t="s">
        <v>1094</v>
      </c>
      <c r="D441">
        <v>37</v>
      </c>
      <c r="E441" t="str">
        <f t="shared" si="13"/>
        <v>Adult</v>
      </c>
      <c r="F441" t="s">
        <v>1158</v>
      </c>
      <c r="G441" t="s">
        <v>1170</v>
      </c>
      <c r="H441" t="s">
        <v>1183</v>
      </c>
      <c r="I441" t="s">
        <v>1190</v>
      </c>
      <c r="J441" t="s">
        <v>1192</v>
      </c>
      <c r="K441" s="2">
        <v>45949</v>
      </c>
      <c r="L441" s="2" t="str">
        <f t="shared" si="12"/>
        <v>October</v>
      </c>
      <c r="M441">
        <v>2</v>
      </c>
      <c r="N441">
        <v>30000</v>
      </c>
    </row>
    <row r="442" spans="1:14" x14ac:dyDescent="0.3">
      <c r="A442" t="s">
        <v>452</v>
      </c>
      <c r="B442" t="s">
        <v>952</v>
      </c>
      <c r="C442" t="s">
        <v>1150</v>
      </c>
      <c r="D442">
        <v>46</v>
      </c>
      <c r="E442" t="str">
        <f t="shared" si="13"/>
        <v>Adult</v>
      </c>
      <c r="F442" t="s">
        <v>1159</v>
      </c>
      <c r="G442" t="s">
        <v>1162</v>
      </c>
      <c r="H442" t="s">
        <v>1181</v>
      </c>
      <c r="I442" t="s">
        <v>1189</v>
      </c>
      <c r="J442" t="s">
        <v>1196</v>
      </c>
      <c r="K442" s="2">
        <v>45692</v>
      </c>
      <c r="L442" s="2" t="str">
        <f t="shared" si="12"/>
        <v>February</v>
      </c>
      <c r="M442">
        <v>2</v>
      </c>
      <c r="N442">
        <v>4000</v>
      </c>
    </row>
    <row r="443" spans="1:14" x14ac:dyDescent="0.3">
      <c r="A443" t="s">
        <v>453</v>
      </c>
      <c r="B443" t="s">
        <v>953</v>
      </c>
      <c r="C443" t="s">
        <v>1063</v>
      </c>
      <c r="D443">
        <v>58</v>
      </c>
      <c r="E443" t="str">
        <f t="shared" si="13"/>
        <v>Senior</v>
      </c>
      <c r="F443" t="s">
        <v>1159</v>
      </c>
      <c r="G443" t="s">
        <v>1162</v>
      </c>
      <c r="H443" t="s">
        <v>1181</v>
      </c>
      <c r="I443" t="s">
        <v>1186</v>
      </c>
      <c r="J443" t="s">
        <v>1195</v>
      </c>
      <c r="K443" s="2">
        <v>45585</v>
      </c>
      <c r="L443" s="2" t="str">
        <f t="shared" si="12"/>
        <v>October</v>
      </c>
      <c r="M443">
        <v>1</v>
      </c>
      <c r="N443">
        <v>2500</v>
      </c>
    </row>
    <row r="444" spans="1:14" x14ac:dyDescent="0.3">
      <c r="A444" t="s">
        <v>454</v>
      </c>
      <c r="B444" t="s">
        <v>954</v>
      </c>
      <c r="C444" t="s">
        <v>1033</v>
      </c>
      <c r="D444">
        <v>61</v>
      </c>
      <c r="E444" t="str">
        <f t="shared" si="13"/>
        <v>Senior</v>
      </c>
      <c r="F444" t="s">
        <v>1159</v>
      </c>
      <c r="G444" t="s">
        <v>1176</v>
      </c>
      <c r="H444" t="s">
        <v>1179</v>
      </c>
      <c r="I444" t="s">
        <v>1189</v>
      </c>
      <c r="J444" t="s">
        <v>1194</v>
      </c>
      <c r="K444" s="2">
        <v>45727</v>
      </c>
      <c r="L444" s="2" t="str">
        <f t="shared" si="12"/>
        <v>March</v>
      </c>
      <c r="M444">
        <v>5</v>
      </c>
      <c r="N444">
        <v>10000</v>
      </c>
    </row>
    <row r="445" spans="1:14" x14ac:dyDescent="0.3">
      <c r="A445" t="s">
        <v>455</v>
      </c>
      <c r="B445" t="s">
        <v>955</v>
      </c>
      <c r="C445" t="s">
        <v>1072</v>
      </c>
      <c r="D445">
        <v>59</v>
      </c>
      <c r="E445" t="str">
        <f t="shared" si="13"/>
        <v>Senior</v>
      </c>
      <c r="F445" t="s">
        <v>1159</v>
      </c>
      <c r="G445" t="s">
        <v>1162</v>
      </c>
      <c r="H445" t="s">
        <v>1181</v>
      </c>
      <c r="I445" t="s">
        <v>1191</v>
      </c>
      <c r="J445" t="s">
        <v>1192</v>
      </c>
      <c r="K445" s="2">
        <v>45916</v>
      </c>
      <c r="L445" s="2" t="str">
        <f t="shared" si="12"/>
        <v>September</v>
      </c>
      <c r="M445">
        <v>4</v>
      </c>
      <c r="N445">
        <v>24000</v>
      </c>
    </row>
    <row r="446" spans="1:14" x14ac:dyDescent="0.3">
      <c r="A446" t="s">
        <v>456</v>
      </c>
      <c r="B446" t="s">
        <v>956</v>
      </c>
      <c r="C446" t="s">
        <v>1064</v>
      </c>
      <c r="D446">
        <v>38</v>
      </c>
      <c r="E446" t="str">
        <f t="shared" si="13"/>
        <v>Adult</v>
      </c>
      <c r="F446" t="s">
        <v>1159</v>
      </c>
      <c r="G446" t="s">
        <v>1169</v>
      </c>
      <c r="H446" t="s">
        <v>1182</v>
      </c>
      <c r="I446" t="s">
        <v>1189</v>
      </c>
      <c r="J446" t="s">
        <v>1193</v>
      </c>
      <c r="K446" s="2">
        <v>45873</v>
      </c>
      <c r="L446" s="2" t="str">
        <f t="shared" si="12"/>
        <v>August</v>
      </c>
      <c r="M446">
        <v>3</v>
      </c>
      <c r="N446">
        <v>6000</v>
      </c>
    </row>
    <row r="447" spans="1:14" x14ac:dyDescent="0.3">
      <c r="A447" t="s">
        <v>457</v>
      </c>
      <c r="B447" t="s">
        <v>957</v>
      </c>
      <c r="C447" t="s">
        <v>1125</v>
      </c>
      <c r="D447">
        <v>23</v>
      </c>
      <c r="E447" t="str">
        <f t="shared" si="13"/>
        <v>Teenager</v>
      </c>
      <c r="F447" t="s">
        <v>1159</v>
      </c>
      <c r="G447" t="s">
        <v>1176</v>
      </c>
      <c r="H447" t="s">
        <v>1179</v>
      </c>
      <c r="I447" t="s">
        <v>1191</v>
      </c>
      <c r="J447" t="s">
        <v>1192</v>
      </c>
      <c r="K447" s="2">
        <v>45838</v>
      </c>
      <c r="L447" s="2" t="str">
        <f t="shared" si="12"/>
        <v>June</v>
      </c>
      <c r="M447">
        <v>5</v>
      </c>
      <c r="N447">
        <v>30000</v>
      </c>
    </row>
    <row r="448" spans="1:14" x14ac:dyDescent="0.3">
      <c r="A448" t="s">
        <v>458</v>
      </c>
      <c r="B448" t="s">
        <v>958</v>
      </c>
      <c r="C448" t="s">
        <v>1086</v>
      </c>
      <c r="D448">
        <v>41</v>
      </c>
      <c r="E448" t="str">
        <f t="shared" si="13"/>
        <v>Adult</v>
      </c>
      <c r="F448" t="s">
        <v>1158</v>
      </c>
      <c r="G448" t="s">
        <v>1165</v>
      </c>
      <c r="H448" t="s">
        <v>1179</v>
      </c>
      <c r="I448" t="s">
        <v>1191</v>
      </c>
      <c r="J448" t="s">
        <v>1192</v>
      </c>
      <c r="K448" s="2">
        <v>45803</v>
      </c>
      <c r="L448" s="2" t="str">
        <f t="shared" si="12"/>
        <v>May</v>
      </c>
      <c r="M448">
        <v>4</v>
      </c>
      <c r="N448">
        <v>24000</v>
      </c>
    </row>
    <row r="449" spans="1:14" x14ac:dyDescent="0.3">
      <c r="A449" t="s">
        <v>459</v>
      </c>
      <c r="B449" t="s">
        <v>959</v>
      </c>
      <c r="C449" t="s">
        <v>1094</v>
      </c>
      <c r="D449">
        <v>53</v>
      </c>
      <c r="E449" t="str">
        <f t="shared" si="13"/>
        <v>Senior</v>
      </c>
      <c r="F449" t="s">
        <v>1158</v>
      </c>
      <c r="G449" t="s">
        <v>1168</v>
      </c>
      <c r="H449" t="s">
        <v>1185</v>
      </c>
      <c r="I449" t="s">
        <v>1187</v>
      </c>
      <c r="J449" t="s">
        <v>1193</v>
      </c>
      <c r="K449" s="2">
        <v>45648</v>
      </c>
      <c r="L449" s="2" t="str">
        <f t="shared" si="12"/>
        <v>December</v>
      </c>
      <c r="M449">
        <v>2</v>
      </c>
      <c r="N449">
        <v>110000</v>
      </c>
    </row>
    <row r="450" spans="1:14" x14ac:dyDescent="0.3">
      <c r="A450" t="s">
        <v>460</v>
      </c>
      <c r="B450" t="s">
        <v>960</v>
      </c>
      <c r="C450" t="s">
        <v>1155</v>
      </c>
      <c r="D450">
        <v>22</v>
      </c>
      <c r="E450" t="str">
        <f t="shared" si="13"/>
        <v>Teenager</v>
      </c>
      <c r="F450" t="s">
        <v>1158</v>
      </c>
      <c r="G450" t="s">
        <v>1160</v>
      </c>
      <c r="H450" t="s">
        <v>1179</v>
      </c>
      <c r="I450" t="s">
        <v>1191</v>
      </c>
      <c r="J450" t="s">
        <v>1194</v>
      </c>
      <c r="K450" s="2">
        <v>45588</v>
      </c>
      <c r="L450" s="2" t="str">
        <f t="shared" si="12"/>
        <v>October</v>
      </c>
      <c r="M450">
        <v>5</v>
      </c>
      <c r="N450">
        <v>30000</v>
      </c>
    </row>
    <row r="451" spans="1:14" x14ac:dyDescent="0.3">
      <c r="A451" t="s">
        <v>461</v>
      </c>
      <c r="B451" t="s">
        <v>961</v>
      </c>
      <c r="C451" t="s">
        <v>1151</v>
      </c>
      <c r="D451">
        <v>51</v>
      </c>
      <c r="E451" t="str">
        <f t="shared" si="13"/>
        <v>Senior</v>
      </c>
      <c r="F451" t="s">
        <v>1159</v>
      </c>
      <c r="G451" t="s">
        <v>1174</v>
      </c>
      <c r="H451" t="s">
        <v>1180</v>
      </c>
      <c r="I451" t="s">
        <v>1187</v>
      </c>
      <c r="J451" t="s">
        <v>1194</v>
      </c>
      <c r="K451" s="2">
        <v>45732</v>
      </c>
      <c r="L451" s="2" t="str">
        <f t="shared" ref="L451:L501" si="14">TEXT(K451,"mmmm")</f>
        <v>March</v>
      </c>
      <c r="M451">
        <v>4</v>
      </c>
      <c r="N451">
        <v>220000</v>
      </c>
    </row>
    <row r="452" spans="1:14" x14ac:dyDescent="0.3">
      <c r="A452" t="s">
        <v>462</v>
      </c>
      <c r="B452" t="s">
        <v>962</v>
      </c>
      <c r="C452" t="s">
        <v>1123</v>
      </c>
      <c r="D452">
        <v>19</v>
      </c>
      <c r="E452" t="str">
        <f t="shared" ref="E452:E501" si="15">IF(D452&gt;=50,"Senior", IF(D452&gt;=30,"Adult", "Teenager"))</f>
        <v>Teenager</v>
      </c>
      <c r="F452" t="s">
        <v>1158</v>
      </c>
      <c r="G452" t="s">
        <v>1178</v>
      </c>
      <c r="H452" t="s">
        <v>1180</v>
      </c>
      <c r="I452" t="s">
        <v>1189</v>
      </c>
      <c r="J452" t="s">
        <v>1193</v>
      </c>
      <c r="K452" s="2">
        <v>45824</v>
      </c>
      <c r="L452" s="2" t="str">
        <f t="shared" si="14"/>
        <v>June</v>
      </c>
      <c r="M452">
        <v>3</v>
      </c>
      <c r="N452">
        <v>6000</v>
      </c>
    </row>
    <row r="453" spans="1:14" x14ac:dyDescent="0.3">
      <c r="A453" t="s">
        <v>463</v>
      </c>
      <c r="B453" t="s">
        <v>963</v>
      </c>
      <c r="C453" t="s">
        <v>1140</v>
      </c>
      <c r="D453">
        <v>41</v>
      </c>
      <c r="E453" t="str">
        <f t="shared" si="15"/>
        <v>Adult</v>
      </c>
      <c r="F453" t="s">
        <v>1159</v>
      </c>
      <c r="G453" t="s">
        <v>1161</v>
      </c>
      <c r="H453" t="s">
        <v>1180</v>
      </c>
      <c r="I453" t="s">
        <v>1191</v>
      </c>
      <c r="J453" t="s">
        <v>1196</v>
      </c>
      <c r="K453" s="2">
        <v>45824</v>
      </c>
      <c r="L453" s="2" t="str">
        <f t="shared" si="14"/>
        <v>June</v>
      </c>
      <c r="M453">
        <v>5</v>
      </c>
      <c r="N453">
        <v>30000</v>
      </c>
    </row>
    <row r="454" spans="1:14" x14ac:dyDescent="0.3">
      <c r="A454" t="s">
        <v>464</v>
      </c>
      <c r="B454" t="s">
        <v>964</v>
      </c>
      <c r="C454" t="s">
        <v>1112</v>
      </c>
      <c r="D454">
        <v>20</v>
      </c>
      <c r="E454" t="str">
        <f t="shared" si="15"/>
        <v>Teenager</v>
      </c>
      <c r="F454" t="s">
        <v>1158</v>
      </c>
      <c r="G454" t="s">
        <v>1176</v>
      </c>
      <c r="H454" t="s">
        <v>1179</v>
      </c>
      <c r="I454" t="s">
        <v>1189</v>
      </c>
      <c r="J454" t="s">
        <v>1194</v>
      </c>
      <c r="K454" s="2">
        <v>45851</v>
      </c>
      <c r="L454" s="2" t="str">
        <f t="shared" si="14"/>
        <v>July</v>
      </c>
      <c r="M454">
        <v>5</v>
      </c>
      <c r="N454">
        <v>10000</v>
      </c>
    </row>
    <row r="455" spans="1:14" x14ac:dyDescent="0.3">
      <c r="A455" t="s">
        <v>465</v>
      </c>
      <c r="B455" t="s">
        <v>965</v>
      </c>
      <c r="C455" t="s">
        <v>1090</v>
      </c>
      <c r="D455">
        <v>50</v>
      </c>
      <c r="E455" t="str">
        <f t="shared" si="15"/>
        <v>Senior</v>
      </c>
      <c r="F455" t="s">
        <v>1158</v>
      </c>
      <c r="G455" t="s">
        <v>1175</v>
      </c>
      <c r="H455" t="s">
        <v>1183</v>
      </c>
      <c r="I455" t="s">
        <v>1188</v>
      </c>
      <c r="J455" t="s">
        <v>1194</v>
      </c>
      <c r="K455" s="2">
        <v>45889</v>
      </c>
      <c r="L455" s="2" t="str">
        <f t="shared" si="14"/>
        <v>August</v>
      </c>
      <c r="M455">
        <v>1</v>
      </c>
      <c r="N455">
        <v>30000</v>
      </c>
    </row>
    <row r="456" spans="1:14" x14ac:dyDescent="0.3">
      <c r="A456" t="s">
        <v>466</v>
      </c>
      <c r="B456" t="s">
        <v>966</v>
      </c>
      <c r="C456" t="s">
        <v>1096</v>
      </c>
      <c r="D456">
        <v>52</v>
      </c>
      <c r="E456" t="str">
        <f t="shared" si="15"/>
        <v>Senior</v>
      </c>
      <c r="F456" t="s">
        <v>1159</v>
      </c>
      <c r="G456" t="s">
        <v>1169</v>
      </c>
      <c r="H456" t="s">
        <v>1182</v>
      </c>
      <c r="I456" t="s">
        <v>1186</v>
      </c>
      <c r="J456" t="s">
        <v>1194</v>
      </c>
      <c r="K456" s="2">
        <v>45928</v>
      </c>
      <c r="L456" s="2" t="str">
        <f t="shared" si="14"/>
        <v>September</v>
      </c>
      <c r="M456">
        <v>3</v>
      </c>
      <c r="N456">
        <v>7500</v>
      </c>
    </row>
    <row r="457" spans="1:14" x14ac:dyDescent="0.3">
      <c r="A457" t="s">
        <v>467</v>
      </c>
      <c r="B457" t="s">
        <v>967</v>
      </c>
      <c r="C457" t="s">
        <v>1082</v>
      </c>
      <c r="D457">
        <v>62</v>
      </c>
      <c r="E457" t="str">
        <f t="shared" si="15"/>
        <v>Senior</v>
      </c>
      <c r="F457" t="s">
        <v>1159</v>
      </c>
      <c r="G457" t="s">
        <v>1162</v>
      </c>
      <c r="H457" t="s">
        <v>1181</v>
      </c>
      <c r="I457" t="s">
        <v>1191</v>
      </c>
      <c r="J457" t="s">
        <v>1194</v>
      </c>
      <c r="K457" s="2">
        <v>45919</v>
      </c>
      <c r="L457" s="2" t="str">
        <f t="shared" si="14"/>
        <v>September</v>
      </c>
      <c r="M457">
        <v>2</v>
      </c>
      <c r="N457">
        <v>12000</v>
      </c>
    </row>
    <row r="458" spans="1:14" x14ac:dyDescent="0.3">
      <c r="A458" t="s">
        <v>468</v>
      </c>
      <c r="B458" t="s">
        <v>968</v>
      </c>
      <c r="C458" t="s">
        <v>1086</v>
      </c>
      <c r="D458">
        <v>41</v>
      </c>
      <c r="E458" t="str">
        <f t="shared" si="15"/>
        <v>Adult</v>
      </c>
      <c r="F458" t="s">
        <v>1159</v>
      </c>
      <c r="G458" t="s">
        <v>1177</v>
      </c>
      <c r="H458" t="s">
        <v>1184</v>
      </c>
      <c r="I458" t="s">
        <v>1189</v>
      </c>
      <c r="J458" t="s">
        <v>1196</v>
      </c>
      <c r="K458" s="2">
        <v>45681</v>
      </c>
      <c r="L458" s="2" t="str">
        <f t="shared" si="14"/>
        <v>January</v>
      </c>
      <c r="M458">
        <v>3</v>
      </c>
      <c r="N458">
        <v>6000</v>
      </c>
    </row>
    <row r="459" spans="1:14" x14ac:dyDescent="0.3">
      <c r="A459" t="s">
        <v>469</v>
      </c>
      <c r="B459" t="s">
        <v>969</v>
      </c>
      <c r="C459" t="s">
        <v>1030</v>
      </c>
      <c r="D459">
        <v>45</v>
      </c>
      <c r="E459" t="str">
        <f t="shared" si="15"/>
        <v>Adult</v>
      </c>
      <c r="F459" t="s">
        <v>1158</v>
      </c>
      <c r="G459" t="s">
        <v>1169</v>
      </c>
      <c r="H459" t="s">
        <v>1182</v>
      </c>
      <c r="I459" t="s">
        <v>1186</v>
      </c>
      <c r="J459" t="s">
        <v>1195</v>
      </c>
      <c r="K459" s="2">
        <v>45831</v>
      </c>
      <c r="L459" s="2" t="str">
        <f t="shared" si="14"/>
        <v>June</v>
      </c>
      <c r="M459">
        <v>4</v>
      </c>
      <c r="N459">
        <v>10000</v>
      </c>
    </row>
    <row r="460" spans="1:14" x14ac:dyDescent="0.3">
      <c r="A460" t="s">
        <v>470</v>
      </c>
      <c r="B460" t="s">
        <v>970</v>
      </c>
      <c r="C460" t="s">
        <v>1062</v>
      </c>
      <c r="D460">
        <v>28</v>
      </c>
      <c r="E460" t="str">
        <f t="shared" si="15"/>
        <v>Teenager</v>
      </c>
      <c r="F460" t="s">
        <v>1159</v>
      </c>
      <c r="G460" t="s">
        <v>1165</v>
      </c>
      <c r="H460" t="s">
        <v>1179</v>
      </c>
      <c r="I460" t="s">
        <v>1191</v>
      </c>
      <c r="J460" t="s">
        <v>1193</v>
      </c>
      <c r="K460" s="2">
        <v>45609</v>
      </c>
      <c r="L460" s="2" t="str">
        <f t="shared" si="14"/>
        <v>November</v>
      </c>
      <c r="M460">
        <v>3</v>
      </c>
      <c r="N460">
        <v>18000</v>
      </c>
    </row>
    <row r="461" spans="1:14" x14ac:dyDescent="0.3">
      <c r="A461" t="s">
        <v>471</v>
      </c>
      <c r="B461" t="s">
        <v>971</v>
      </c>
      <c r="C461" t="s">
        <v>1016</v>
      </c>
      <c r="D461">
        <v>36</v>
      </c>
      <c r="E461" t="str">
        <f t="shared" si="15"/>
        <v>Adult</v>
      </c>
      <c r="F461" t="s">
        <v>1159</v>
      </c>
      <c r="G461" t="s">
        <v>1175</v>
      </c>
      <c r="H461" t="s">
        <v>1183</v>
      </c>
      <c r="I461" t="s">
        <v>1189</v>
      </c>
      <c r="J461" t="s">
        <v>1196</v>
      </c>
      <c r="K461" s="2">
        <v>45816</v>
      </c>
      <c r="L461" s="2" t="str">
        <f t="shared" si="14"/>
        <v>June</v>
      </c>
      <c r="M461">
        <v>2</v>
      </c>
      <c r="N461">
        <v>4000</v>
      </c>
    </row>
    <row r="462" spans="1:14" x14ac:dyDescent="0.3">
      <c r="A462" t="s">
        <v>472</v>
      </c>
      <c r="B462" t="s">
        <v>972</v>
      </c>
      <c r="C462" t="s">
        <v>1024</v>
      </c>
      <c r="D462">
        <v>46</v>
      </c>
      <c r="E462" t="str">
        <f t="shared" si="15"/>
        <v>Adult</v>
      </c>
      <c r="F462" t="s">
        <v>1159</v>
      </c>
      <c r="G462" t="s">
        <v>1162</v>
      </c>
      <c r="H462" t="s">
        <v>1181</v>
      </c>
      <c r="I462" t="s">
        <v>1187</v>
      </c>
      <c r="J462" t="s">
        <v>1195</v>
      </c>
      <c r="K462" s="2">
        <v>45787</v>
      </c>
      <c r="L462" s="2" t="str">
        <f t="shared" si="14"/>
        <v>May</v>
      </c>
      <c r="M462">
        <v>1</v>
      </c>
      <c r="N462">
        <v>55000</v>
      </c>
    </row>
    <row r="463" spans="1:14" x14ac:dyDescent="0.3">
      <c r="A463" t="s">
        <v>473</v>
      </c>
      <c r="B463" t="s">
        <v>973</v>
      </c>
      <c r="C463" t="s">
        <v>1034</v>
      </c>
      <c r="D463">
        <v>46</v>
      </c>
      <c r="E463" t="str">
        <f t="shared" si="15"/>
        <v>Adult</v>
      </c>
      <c r="F463" t="s">
        <v>1159</v>
      </c>
      <c r="G463" t="s">
        <v>1170</v>
      </c>
      <c r="H463" t="s">
        <v>1183</v>
      </c>
      <c r="I463" t="s">
        <v>1190</v>
      </c>
      <c r="J463" t="s">
        <v>1196</v>
      </c>
      <c r="K463" s="2">
        <v>45713</v>
      </c>
      <c r="L463" s="2" t="str">
        <f t="shared" si="14"/>
        <v>February</v>
      </c>
      <c r="M463">
        <v>2</v>
      </c>
      <c r="N463">
        <v>30000</v>
      </c>
    </row>
    <row r="464" spans="1:14" x14ac:dyDescent="0.3">
      <c r="A464" t="s">
        <v>474</v>
      </c>
      <c r="B464" t="s">
        <v>974</v>
      </c>
      <c r="C464" t="s">
        <v>1077</v>
      </c>
      <c r="D464">
        <v>44</v>
      </c>
      <c r="E464" t="str">
        <f t="shared" si="15"/>
        <v>Adult</v>
      </c>
      <c r="F464" t="s">
        <v>1159</v>
      </c>
      <c r="G464" t="s">
        <v>1172</v>
      </c>
      <c r="H464" t="s">
        <v>1185</v>
      </c>
      <c r="I464" t="s">
        <v>1186</v>
      </c>
      <c r="J464" t="s">
        <v>1194</v>
      </c>
      <c r="K464" s="2">
        <v>45760</v>
      </c>
      <c r="L464" s="2" t="str">
        <f t="shared" si="14"/>
        <v>April</v>
      </c>
      <c r="M464">
        <v>5</v>
      </c>
      <c r="N464">
        <v>12500</v>
      </c>
    </row>
    <row r="465" spans="1:14" x14ac:dyDescent="0.3">
      <c r="A465" t="s">
        <v>475</v>
      </c>
      <c r="B465" t="s">
        <v>975</v>
      </c>
      <c r="C465" t="s">
        <v>1153</v>
      </c>
      <c r="D465">
        <v>36</v>
      </c>
      <c r="E465" t="str">
        <f t="shared" si="15"/>
        <v>Adult</v>
      </c>
      <c r="F465" t="s">
        <v>1158</v>
      </c>
      <c r="G465" t="s">
        <v>1166</v>
      </c>
      <c r="H465" t="s">
        <v>1184</v>
      </c>
      <c r="I465" t="s">
        <v>1186</v>
      </c>
      <c r="J465" t="s">
        <v>1195</v>
      </c>
      <c r="K465" s="2">
        <v>45899</v>
      </c>
      <c r="L465" s="2" t="str">
        <f t="shared" si="14"/>
        <v>August</v>
      </c>
      <c r="M465">
        <v>3</v>
      </c>
      <c r="N465">
        <v>7500</v>
      </c>
    </row>
    <row r="466" spans="1:14" x14ac:dyDescent="0.3">
      <c r="A466" t="s">
        <v>476</v>
      </c>
      <c r="B466" t="s">
        <v>976</v>
      </c>
      <c r="C466" t="s">
        <v>1092</v>
      </c>
      <c r="D466">
        <v>37</v>
      </c>
      <c r="E466" t="str">
        <f t="shared" si="15"/>
        <v>Adult</v>
      </c>
      <c r="F466" t="s">
        <v>1159</v>
      </c>
      <c r="G466" t="s">
        <v>1171</v>
      </c>
      <c r="H466" t="s">
        <v>1184</v>
      </c>
      <c r="I466" t="s">
        <v>1189</v>
      </c>
      <c r="J466" t="s">
        <v>1194</v>
      </c>
      <c r="K466" s="2">
        <v>45685</v>
      </c>
      <c r="L466" s="2" t="str">
        <f t="shared" si="14"/>
        <v>January</v>
      </c>
      <c r="M466">
        <v>3</v>
      </c>
      <c r="N466">
        <v>6000</v>
      </c>
    </row>
    <row r="467" spans="1:14" x14ac:dyDescent="0.3">
      <c r="A467" t="s">
        <v>477</v>
      </c>
      <c r="B467" t="s">
        <v>977</v>
      </c>
      <c r="C467" t="s">
        <v>1058</v>
      </c>
      <c r="D467">
        <v>57</v>
      </c>
      <c r="E467" t="str">
        <f t="shared" si="15"/>
        <v>Senior</v>
      </c>
      <c r="F467" t="s">
        <v>1159</v>
      </c>
      <c r="G467" t="s">
        <v>1162</v>
      </c>
      <c r="H467" t="s">
        <v>1181</v>
      </c>
      <c r="I467" t="s">
        <v>1186</v>
      </c>
      <c r="J467" t="s">
        <v>1193</v>
      </c>
      <c r="K467" s="2">
        <v>45696</v>
      </c>
      <c r="L467" s="2" t="str">
        <f t="shared" si="14"/>
        <v>February</v>
      </c>
      <c r="M467">
        <v>2</v>
      </c>
      <c r="N467">
        <v>5000</v>
      </c>
    </row>
    <row r="468" spans="1:14" x14ac:dyDescent="0.3">
      <c r="A468" t="s">
        <v>478</v>
      </c>
      <c r="B468" t="s">
        <v>978</v>
      </c>
      <c r="C468" t="s">
        <v>1042</v>
      </c>
      <c r="D468">
        <v>27</v>
      </c>
      <c r="E468" t="str">
        <f t="shared" si="15"/>
        <v>Teenager</v>
      </c>
      <c r="F468" t="s">
        <v>1158</v>
      </c>
      <c r="G468" t="s">
        <v>1164</v>
      </c>
      <c r="H468" t="s">
        <v>1183</v>
      </c>
      <c r="I468" t="s">
        <v>1191</v>
      </c>
      <c r="J468" t="s">
        <v>1192</v>
      </c>
      <c r="K468" s="2">
        <v>45760</v>
      </c>
      <c r="L468" s="2" t="str">
        <f t="shared" si="14"/>
        <v>April</v>
      </c>
      <c r="M468">
        <v>4</v>
      </c>
      <c r="N468">
        <v>24000</v>
      </c>
    </row>
    <row r="469" spans="1:14" x14ac:dyDescent="0.3">
      <c r="A469" t="s">
        <v>479</v>
      </c>
      <c r="B469" t="s">
        <v>979</v>
      </c>
      <c r="C469" t="s">
        <v>1146</v>
      </c>
      <c r="D469">
        <v>26</v>
      </c>
      <c r="E469" t="str">
        <f t="shared" si="15"/>
        <v>Teenager</v>
      </c>
      <c r="F469" t="s">
        <v>1159</v>
      </c>
      <c r="G469" t="s">
        <v>1172</v>
      </c>
      <c r="H469" t="s">
        <v>1185</v>
      </c>
      <c r="I469" t="s">
        <v>1191</v>
      </c>
      <c r="J469" t="s">
        <v>1194</v>
      </c>
      <c r="K469" s="2">
        <v>45781</v>
      </c>
      <c r="L469" s="2" t="str">
        <f t="shared" si="14"/>
        <v>May</v>
      </c>
      <c r="M469">
        <v>3</v>
      </c>
      <c r="N469">
        <v>18000</v>
      </c>
    </row>
    <row r="470" spans="1:14" x14ac:dyDescent="0.3">
      <c r="A470" t="s">
        <v>480</v>
      </c>
      <c r="B470" t="s">
        <v>980</v>
      </c>
      <c r="C470" t="s">
        <v>1129</v>
      </c>
      <c r="D470">
        <v>35</v>
      </c>
      <c r="E470" t="str">
        <f t="shared" si="15"/>
        <v>Adult</v>
      </c>
      <c r="F470" t="s">
        <v>1158</v>
      </c>
      <c r="G470" t="s">
        <v>1174</v>
      </c>
      <c r="H470" t="s">
        <v>1180</v>
      </c>
      <c r="I470" t="s">
        <v>1191</v>
      </c>
      <c r="J470" t="s">
        <v>1195</v>
      </c>
      <c r="K470" s="2">
        <v>45832</v>
      </c>
      <c r="L470" s="2" t="str">
        <f t="shared" si="14"/>
        <v>June</v>
      </c>
      <c r="M470">
        <v>1</v>
      </c>
      <c r="N470">
        <v>6000</v>
      </c>
    </row>
    <row r="471" spans="1:14" x14ac:dyDescent="0.3">
      <c r="A471" t="s">
        <v>481</v>
      </c>
      <c r="B471" t="s">
        <v>981</v>
      </c>
      <c r="C471" t="s">
        <v>1118</v>
      </c>
      <c r="D471">
        <v>47</v>
      </c>
      <c r="E471" t="str">
        <f t="shared" si="15"/>
        <v>Adult</v>
      </c>
      <c r="F471" t="s">
        <v>1158</v>
      </c>
      <c r="G471" t="s">
        <v>1166</v>
      </c>
      <c r="H471" t="s">
        <v>1184</v>
      </c>
      <c r="I471" t="s">
        <v>1190</v>
      </c>
      <c r="J471" t="s">
        <v>1193</v>
      </c>
      <c r="K471" s="2">
        <v>45754</v>
      </c>
      <c r="L471" s="2" t="str">
        <f t="shared" si="14"/>
        <v>April</v>
      </c>
      <c r="M471">
        <v>5</v>
      </c>
      <c r="N471">
        <v>75000</v>
      </c>
    </row>
    <row r="472" spans="1:14" x14ac:dyDescent="0.3">
      <c r="A472" t="s">
        <v>482</v>
      </c>
      <c r="B472" t="s">
        <v>982</v>
      </c>
      <c r="C472" t="s">
        <v>1087</v>
      </c>
      <c r="D472">
        <v>52</v>
      </c>
      <c r="E472" t="str">
        <f t="shared" si="15"/>
        <v>Senior</v>
      </c>
      <c r="F472" t="s">
        <v>1159</v>
      </c>
      <c r="G472" t="s">
        <v>1173</v>
      </c>
      <c r="H472" t="s">
        <v>1185</v>
      </c>
      <c r="I472" t="s">
        <v>1187</v>
      </c>
      <c r="J472" t="s">
        <v>1194</v>
      </c>
      <c r="K472" s="2">
        <v>45830</v>
      </c>
      <c r="L472" s="2" t="str">
        <f t="shared" si="14"/>
        <v>June</v>
      </c>
      <c r="M472">
        <v>2</v>
      </c>
      <c r="N472">
        <v>110000</v>
      </c>
    </row>
    <row r="473" spans="1:14" x14ac:dyDescent="0.3">
      <c r="A473" t="s">
        <v>483</v>
      </c>
      <c r="B473" t="s">
        <v>983</v>
      </c>
      <c r="C473" t="s">
        <v>1135</v>
      </c>
      <c r="D473">
        <v>26</v>
      </c>
      <c r="E473" t="str">
        <f t="shared" si="15"/>
        <v>Teenager</v>
      </c>
      <c r="F473" t="s">
        <v>1159</v>
      </c>
      <c r="G473" t="s">
        <v>1162</v>
      </c>
      <c r="H473" t="s">
        <v>1181</v>
      </c>
      <c r="I473" t="s">
        <v>1188</v>
      </c>
      <c r="J473" t="s">
        <v>1195</v>
      </c>
      <c r="K473" s="2">
        <v>45690</v>
      </c>
      <c r="L473" s="2" t="str">
        <f t="shared" si="14"/>
        <v>February</v>
      </c>
      <c r="M473">
        <v>1</v>
      </c>
      <c r="N473">
        <v>30000</v>
      </c>
    </row>
    <row r="474" spans="1:14" x14ac:dyDescent="0.3">
      <c r="A474" t="s">
        <v>484</v>
      </c>
      <c r="B474" t="s">
        <v>984</v>
      </c>
      <c r="C474" t="s">
        <v>1105</v>
      </c>
      <c r="D474">
        <v>33</v>
      </c>
      <c r="E474" t="str">
        <f t="shared" si="15"/>
        <v>Adult</v>
      </c>
      <c r="F474" t="s">
        <v>1159</v>
      </c>
      <c r="G474" t="s">
        <v>1163</v>
      </c>
      <c r="H474" t="s">
        <v>1182</v>
      </c>
      <c r="I474" t="s">
        <v>1191</v>
      </c>
      <c r="J474" t="s">
        <v>1196</v>
      </c>
      <c r="K474" s="2">
        <v>45599</v>
      </c>
      <c r="L474" s="2" t="str">
        <f t="shared" si="14"/>
        <v>November</v>
      </c>
      <c r="M474">
        <v>2</v>
      </c>
      <c r="N474">
        <v>12000</v>
      </c>
    </row>
    <row r="475" spans="1:14" x14ac:dyDescent="0.3">
      <c r="A475" t="s">
        <v>485</v>
      </c>
      <c r="B475" t="s">
        <v>985</v>
      </c>
      <c r="C475" t="s">
        <v>1074</v>
      </c>
      <c r="D475">
        <v>60</v>
      </c>
      <c r="E475" t="str">
        <f t="shared" si="15"/>
        <v>Senior</v>
      </c>
      <c r="F475" t="s">
        <v>1158</v>
      </c>
      <c r="G475" t="s">
        <v>1175</v>
      </c>
      <c r="H475" t="s">
        <v>1183</v>
      </c>
      <c r="I475" t="s">
        <v>1191</v>
      </c>
      <c r="J475" t="s">
        <v>1195</v>
      </c>
      <c r="K475" s="2">
        <v>45925</v>
      </c>
      <c r="L475" s="2" t="str">
        <f t="shared" si="14"/>
        <v>September</v>
      </c>
      <c r="M475">
        <v>3</v>
      </c>
      <c r="N475">
        <v>18000</v>
      </c>
    </row>
    <row r="476" spans="1:14" x14ac:dyDescent="0.3">
      <c r="A476" t="s">
        <v>486</v>
      </c>
      <c r="B476" t="s">
        <v>986</v>
      </c>
      <c r="C476" t="s">
        <v>1156</v>
      </c>
      <c r="D476">
        <v>56</v>
      </c>
      <c r="E476" t="str">
        <f t="shared" si="15"/>
        <v>Senior</v>
      </c>
      <c r="F476" t="s">
        <v>1158</v>
      </c>
      <c r="G476" t="s">
        <v>1162</v>
      </c>
      <c r="H476" t="s">
        <v>1181</v>
      </c>
      <c r="I476" t="s">
        <v>1186</v>
      </c>
      <c r="J476" t="s">
        <v>1194</v>
      </c>
      <c r="K476" s="2">
        <v>45616</v>
      </c>
      <c r="L476" s="2" t="str">
        <f t="shared" si="14"/>
        <v>November</v>
      </c>
      <c r="M476">
        <v>2</v>
      </c>
      <c r="N476">
        <v>5000</v>
      </c>
    </row>
    <row r="477" spans="1:14" x14ac:dyDescent="0.3">
      <c r="A477" t="s">
        <v>487</v>
      </c>
      <c r="B477" t="s">
        <v>987</v>
      </c>
      <c r="C477" t="s">
        <v>1111</v>
      </c>
      <c r="D477">
        <v>40</v>
      </c>
      <c r="E477" t="str">
        <f t="shared" si="15"/>
        <v>Adult</v>
      </c>
      <c r="F477" t="s">
        <v>1158</v>
      </c>
      <c r="G477" t="s">
        <v>1175</v>
      </c>
      <c r="H477" t="s">
        <v>1183</v>
      </c>
      <c r="I477" t="s">
        <v>1191</v>
      </c>
      <c r="J477" t="s">
        <v>1196</v>
      </c>
      <c r="K477" s="2">
        <v>45770</v>
      </c>
      <c r="L477" s="2" t="str">
        <f t="shared" si="14"/>
        <v>April</v>
      </c>
      <c r="M477">
        <v>1</v>
      </c>
      <c r="N477">
        <v>6000</v>
      </c>
    </row>
    <row r="478" spans="1:14" x14ac:dyDescent="0.3">
      <c r="A478" t="s">
        <v>488</v>
      </c>
      <c r="B478" t="s">
        <v>988</v>
      </c>
      <c r="C478" t="s">
        <v>1115</v>
      </c>
      <c r="D478">
        <v>19</v>
      </c>
      <c r="E478" t="str">
        <f t="shared" si="15"/>
        <v>Teenager</v>
      </c>
      <c r="F478" t="s">
        <v>1158</v>
      </c>
      <c r="G478" t="s">
        <v>1173</v>
      </c>
      <c r="H478" t="s">
        <v>1185</v>
      </c>
      <c r="I478" t="s">
        <v>1186</v>
      </c>
      <c r="J478" t="s">
        <v>1193</v>
      </c>
      <c r="K478" s="2">
        <v>45585</v>
      </c>
      <c r="L478" s="2" t="str">
        <f t="shared" si="14"/>
        <v>October</v>
      </c>
      <c r="M478">
        <v>4</v>
      </c>
      <c r="N478">
        <v>10000</v>
      </c>
    </row>
    <row r="479" spans="1:14" x14ac:dyDescent="0.3">
      <c r="A479" t="s">
        <v>489</v>
      </c>
      <c r="B479" t="s">
        <v>989</v>
      </c>
      <c r="C479" t="s">
        <v>1121</v>
      </c>
      <c r="D479">
        <v>64</v>
      </c>
      <c r="E479" t="str">
        <f t="shared" si="15"/>
        <v>Senior</v>
      </c>
      <c r="F479" t="s">
        <v>1158</v>
      </c>
      <c r="G479" t="s">
        <v>1168</v>
      </c>
      <c r="H479" t="s">
        <v>1185</v>
      </c>
      <c r="I479" t="s">
        <v>1187</v>
      </c>
      <c r="J479" t="s">
        <v>1194</v>
      </c>
      <c r="K479" s="2">
        <v>45669</v>
      </c>
      <c r="L479" s="2" t="str">
        <f t="shared" si="14"/>
        <v>January</v>
      </c>
      <c r="M479">
        <v>1</v>
      </c>
      <c r="N479">
        <v>55000</v>
      </c>
    </row>
    <row r="480" spans="1:14" x14ac:dyDescent="0.3">
      <c r="A480" t="s">
        <v>490</v>
      </c>
      <c r="B480" t="s">
        <v>990</v>
      </c>
      <c r="C480" t="s">
        <v>1088</v>
      </c>
      <c r="D480">
        <v>41</v>
      </c>
      <c r="E480" t="str">
        <f t="shared" si="15"/>
        <v>Adult</v>
      </c>
      <c r="F480" t="s">
        <v>1158</v>
      </c>
      <c r="G480" t="s">
        <v>1177</v>
      </c>
      <c r="H480" t="s">
        <v>1184</v>
      </c>
      <c r="I480" t="s">
        <v>1186</v>
      </c>
      <c r="J480" t="s">
        <v>1196</v>
      </c>
      <c r="K480" s="2">
        <v>45684</v>
      </c>
      <c r="L480" s="2" t="str">
        <f t="shared" si="14"/>
        <v>January</v>
      </c>
      <c r="M480">
        <v>4</v>
      </c>
      <c r="N480">
        <v>10000</v>
      </c>
    </row>
    <row r="481" spans="1:14" x14ac:dyDescent="0.3">
      <c r="A481" t="s">
        <v>491</v>
      </c>
      <c r="B481" t="s">
        <v>991</v>
      </c>
      <c r="C481" t="s">
        <v>1134</v>
      </c>
      <c r="D481">
        <v>59</v>
      </c>
      <c r="E481" t="str">
        <f t="shared" si="15"/>
        <v>Senior</v>
      </c>
      <c r="F481" t="s">
        <v>1159</v>
      </c>
      <c r="G481" t="s">
        <v>1164</v>
      </c>
      <c r="H481" t="s">
        <v>1183</v>
      </c>
      <c r="I481" t="s">
        <v>1187</v>
      </c>
      <c r="J481" t="s">
        <v>1196</v>
      </c>
      <c r="K481" s="2">
        <v>45678</v>
      </c>
      <c r="L481" s="2" t="str">
        <f t="shared" si="14"/>
        <v>January</v>
      </c>
      <c r="M481">
        <v>3</v>
      </c>
      <c r="N481">
        <v>165000</v>
      </c>
    </row>
    <row r="482" spans="1:14" x14ac:dyDescent="0.3">
      <c r="A482" t="s">
        <v>492</v>
      </c>
      <c r="B482" t="s">
        <v>992</v>
      </c>
      <c r="C482" t="s">
        <v>1099</v>
      </c>
      <c r="D482">
        <v>27</v>
      </c>
      <c r="E482" t="str">
        <f t="shared" si="15"/>
        <v>Teenager</v>
      </c>
      <c r="F482" t="s">
        <v>1159</v>
      </c>
      <c r="G482" t="s">
        <v>1174</v>
      </c>
      <c r="H482" t="s">
        <v>1180</v>
      </c>
      <c r="I482" t="s">
        <v>1186</v>
      </c>
      <c r="J482" t="s">
        <v>1193</v>
      </c>
      <c r="K482" s="2">
        <v>45786</v>
      </c>
      <c r="L482" s="2" t="str">
        <f t="shared" si="14"/>
        <v>May</v>
      </c>
      <c r="M482">
        <v>1</v>
      </c>
      <c r="N482">
        <v>2500</v>
      </c>
    </row>
    <row r="483" spans="1:14" x14ac:dyDescent="0.3">
      <c r="A483" t="s">
        <v>493</v>
      </c>
      <c r="B483" t="s">
        <v>993</v>
      </c>
      <c r="C483" t="s">
        <v>1034</v>
      </c>
      <c r="D483">
        <v>30</v>
      </c>
      <c r="E483" t="str">
        <f t="shared" si="15"/>
        <v>Adult</v>
      </c>
      <c r="F483" t="s">
        <v>1158</v>
      </c>
      <c r="G483" t="s">
        <v>1170</v>
      </c>
      <c r="H483" t="s">
        <v>1183</v>
      </c>
      <c r="I483" t="s">
        <v>1190</v>
      </c>
      <c r="J483" t="s">
        <v>1196</v>
      </c>
      <c r="K483" s="2">
        <v>45911</v>
      </c>
      <c r="L483" s="2" t="str">
        <f t="shared" si="14"/>
        <v>September</v>
      </c>
      <c r="M483">
        <v>1</v>
      </c>
      <c r="N483">
        <v>15000</v>
      </c>
    </row>
    <row r="484" spans="1:14" x14ac:dyDescent="0.3">
      <c r="A484" t="s">
        <v>494</v>
      </c>
      <c r="B484" t="s">
        <v>994</v>
      </c>
      <c r="C484" t="s">
        <v>1074</v>
      </c>
      <c r="D484">
        <v>61</v>
      </c>
      <c r="E484" t="str">
        <f t="shared" si="15"/>
        <v>Senior</v>
      </c>
      <c r="F484" t="s">
        <v>1158</v>
      </c>
      <c r="G484" t="s">
        <v>1176</v>
      </c>
      <c r="H484" t="s">
        <v>1179</v>
      </c>
      <c r="I484" t="s">
        <v>1187</v>
      </c>
      <c r="J484" t="s">
        <v>1194</v>
      </c>
      <c r="K484" s="2">
        <v>45659</v>
      </c>
      <c r="L484" s="2" t="str">
        <f t="shared" si="14"/>
        <v>January</v>
      </c>
      <c r="M484">
        <v>4</v>
      </c>
      <c r="N484">
        <v>220000</v>
      </c>
    </row>
    <row r="485" spans="1:14" x14ac:dyDescent="0.3">
      <c r="A485" t="s">
        <v>495</v>
      </c>
      <c r="B485" t="s">
        <v>995</v>
      </c>
      <c r="C485" t="s">
        <v>1142</v>
      </c>
      <c r="D485">
        <v>23</v>
      </c>
      <c r="E485" t="str">
        <f t="shared" si="15"/>
        <v>Teenager</v>
      </c>
      <c r="F485" t="s">
        <v>1158</v>
      </c>
      <c r="G485" t="s">
        <v>1173</v>
      </c>
      <c r="H485" t="s">
        <v>1185</v>
      </c>
      <c r="I485" t="s">
        <v>1189</v>
      </c>
      <c r="J485" t="s">
        <v>1196</v>
      </c>
      <c r="K485" s="2">
        <v>45601</v>
      </c>
      <c r="L485" s="2" t="str">
        <f t="shared" si="14"/>
        <v>November</v>
      </c>
      <c r="M485">
        <v>4</v>
      </c>
      <c r="N485">
        <v>8000</v>
      </c>
    </row>
    <row r="486" spans="1:14" x14ac:dyDescent="0.3">
      <c r="A486" t="s">
        <v>496</v>
      </c>
      <c r="B486" t="s">
        <v>996</v>
      </c>
      <c r="C486" t="s">
        <v>1081</v>
      </c>
      <c r="D486">
        <v>25</v>
      </c>
      <c r="E486" t="str">
        <f t="shared" si="15"/>
        <v>Teenager</v>
      </c>
      <c r="F486" t="s">
        <v>1158</v>
      </c>
      <c r="G486" t="s">
        <v>1176</v>
      </c>
      <c r="H486" t="s">
        <v>1179</v>
      </c>
      <c r="I486" t="s">
        <v>1190</v>
      </c>
      <c r="J486" t="s">
        <v>1195</v>
      </c>
      <c r="K486" s="2">
        <v>45901</v>
      </c>
      <c r="L486" s="2" t="str">
        <f t="shared" si="14"/>
        <v>September</v>
      </c>
      <c r="M486">
        <v>1</v>
      </c>
      <c r="N486">
        <v>15000</v>
      </c>
    </row>
    <row r="487" spans="1:14" x14ac:dyDescent="0.3">
      <c r="A487" t="s">
        <v>497</v>
      </c>
      <c r="B487" t="s">
        <v>997</v>
      </c>
      <c r="C487" t="s">
        <v>1107</v>
      </c>
      <c r="D487">
        <v>27</v>
      </c>
      <c r="E487" t="str">
        <f t="shared" si="15"/>
        <v>Teenager</v>
      </c>
      <c r="F487" t="s">
        <v>1158</v>
      </c>
      <c r="G487" t="s">
        <v>1162</v>
      </c>
      <c r="H487" t="s">
        <v>1181</v>
      </c>
      <c r="I487" t="s">
        <v>1190</v>
      </c>
      <c r="J487" t="s">
        <v>1194</v>
      </c>
      <c r="K487" s="2">
        <v>45791</v>
      </c>
      <c r="L487" s="2" t="str">
        <f t="shared" si="14"/>
        <v>May</v>
      </c>
      <c r="M487">
        <v>4</v>
      </c>
      <c r="N487">
        <v>60000</v>
      </c>
    </row>
    <row r="488" spans="1:14" x14ac:dyDescent="0.3">
      <c r="A488" t="s">
        <v>498</v>
      </c>
      <c r="B488" t="s">
        <v>998</v>
      </c>
      <c r="C488" t="s">
        <v>1067</v>
      </c>
      <c r="D488">
        <v>21</v>
      </c>
      <c r="E488" t="str">
        <f t="shared" si="15"/>
        <v>Teenager</v>
      </c>
      <c r="F488" t="s">
        <v>1158</v>
      </c>
      <c r="G488" t="s">
        <v>1168</v>
      </c>
      <c r="H488" t="s">
        <v>1185</v>
      </c>
      <c r="I488" t="s">
        <v>1187</v>
      </c>
      <c r="J488" t="s">
        <v>1193</v>
      </c>
      <c r="K488" s="2">
        <v>45825</v>
      </c>
      <c r="L488" s="2" t="str">
        <f t="shared" si="14"/>
        <v>June</v>
      </c>
      <c r="M488">
        <v>1</v>
      </c>
      <c r="N488">
        <v>55000</v>
      </c>
    </row>
    <row r="489" spans="1:14" x14ac:dyDescent="0.3">
      <c r="A489" t="s">
        <v>499</v>
      </c>
      <c r="B489" t="s">
        <v>999</v>
      </c>
      <c r="C489" t="s">
        <v>1130</v>
      </c>
      <c r="D489">
        <v>48</v>
      </c>
      <c r="E489" t="str">
        <f t="shared" si="15"/>
        <v>Adult</v>
      </c>
      <c r="F489" t="s">
        <v>1159</v>
      </c>
      <c r="G489" t="s">
        <v>1177</v>
      </c>
      <c r="H489" t="s">
        <v>1184</v>
      </c>
      <c r="I489" t="s">
        <v>1190</v>
      </c>
      <c r="J489" t="s">
        <v>1193</v>
      </c>
      <c r="K489" s="2">
        <v>45938</v>
      </c>
      <c r="L489" s="2" t="str">
        <f t="shared" si="14"/>
        <v>October</v>
      </c>
      <c r="M489">
        <v>1</v>
      </c>
      <c r="N489">
        <v>15000</v>
      </c>
    </row>
    <row r="490" spans="1:14" x14ac:dyDescent="0.3">
      <c r="A490" t="s">
        <v>500</v>
      </c>
      <c r="B490" t="s">
        <v>1000</v>
      </c>
      <c r="C490" t="s">
        <v>1120</v>
      </c>
      <c r="D490">
        <v>62</v>
      </c>
      <c r="E490" t="str">
        <f t="shared" si="15"/>
        <v>Senior</v>
      </c>
      <c r="F490" t="s">
        <v>1159</v>
      </c>
      <c r="G490" t="s">
        <v>1164</v>
      </c>
      <c r="H490" t="s">
        <v>1183</v>
      </c>
      <c r="I490" t="s">
        <v>1190</v>
      </c>
      <c r="J490" t="s">
        <v>1195</v>
      </c>
      <c r="K490" s="2">
        <v>45645</v>
      </c>
      <c r="L490" s="2" t="str">
        <f t="shared" si="14"/>
        <v>December</v>
      </c>
      <c r="M490">
        <v>2</v>
      </c>
      <c r="N490">
        <v>30000</v>
      </c>
    </row>
    <row r="491" spans="1:14" x14ac:dyDescent="0.3">
      <c r="A491" t="s">
        <v>501</v>
      </c>
      <c r="B491" t="s">
        <v>1001</v>
      </c>
      <c r="C491" t="s">
        <v>1058</v>
      </c>
      <c r="D491">
        <v>42</v>
      </c>
      <c r="E491" t="str">
        <f t="shared" si="15"/>
        <v>Adult</v>
      </c>
      <c r="F491" t="s">
        <v>1158</v>
      </c>
      <c r="G491" t="s">
        <v>1165</v>
      </c>
      <c r="H491" t="s">
        <v>1179</v>
      </c>
      <c r="I491" t="s">
        <v>1186</v>
      </c>
      <c r="J491" t="s">
        <v>1195</v>
      </c>
      <c r="K491" s="2">
        <v>45790</v>
      </c>
      <c r="L491" s="2" t="str">
        <f t="shared" si="14"/>
        <v>May</v>
      </c>
      <c r="M491">
        <v>4</v>
      </c>
      <c r="N491">
        <v>10000</v>
      </c>
    </row>
    <row r="492" spans="1:14" x14ac:dyDescent="0.3">
      <c r="A492" t="s">
        <v>502</v>
      </c>
      <c r="B492" t="s">
        <v>1002</v>
      </c>
      <c r="C492" t="s">
        <v>1047</v>
      </c>
      <c r="D492">
        <v>18</v>
      </c>
      <c r="E492" t="str">
        <f t="shared" si="15"/>
        <v>Teenager</v>
      </c>
      <c r="F492" t="s">
        <v>1159</v>
      </c>
      <c r="G492" t="s">
        <v>1175</v>
      </c>
      <c r="H492" t="s">
        <v>1183</v>
      </c>
      <c r="I492" t="s">
        <v>1187</v>
      </c>
      <c r="J492" t="s">
        <v>1196</v>
      </c>
      <c r="K492" s="2">
        <v>45864</v>
      </c>
      <c r="L492" s="2" t="str">
        <f t="shared" si="14"/>
        <v>July</v>
      </c>
      <c r="M492">
        <v>5</v>
      </c>
      <c r="N492">
        <v>275000</v>
      </c>
    </row>
    <row r="493" spans="1:14" x14ac:dyDescent="0.3">
      <c r="A493" t="s">
        <v>503</v>
      </c>
      <c r="B493" t="s">
        <v>1003</v>
      </c>
      <c r="C493" t="s">
        <v>1144</v>
      </c>
      <c r="D493">
        <v>42</v>
      </c>
      <c r="E493" t="str">
        <f t="shared" si="15"/>
        <v>Adult</v>
      </c>
      <c r="F493" t="s">
        <v>1159</v>
      </c>
      <c r="G493" t="s">
        <v>1169</v>
      </c>
      <c r="H493" t="s">
        <v>1182</v>
      </c>
      <c r="I493" t="s">
        <v>1188</v>
      </c>
      <c r="J493" t="s">
        <v>1193</v>
      </c>
      <c r="K493" s="2">
        <v>45659</v>
      </c>
      <c r="L493" s="2" t="str">
        <f t="shared" si="14"/>
        <v>January</v>
      </c>
      <c r="M493">
        <v>3</v>
      </c>
      <c r="N493">
        <v>90000</v>
      </c>
    </row>
    <row r="494" spans="1:14" x14ac:dyDescent="0.3">
      <c r="A494" t="s">
        <v>504</v>
      </c>
      <c r="B494" t="s">
        <v>1004</v>
      </c>
      <c r="C494" t="s">
        <v>1012</v>
      </c>
      <c r="D494">
        <v>31</v>
      </c>
      <c r="E494" t="str">
        <f t="shared" si="15"/>
        <v>Adult</v>
      </c>
      <c r="F494" t="s">
        <v>1158</v>
      </c>
      <c r="G494" t="s">
        <v>1169</v>
      </c>
      <c r="H494" t="s">
        <v>1182</v>
      </c>
      <c r="I494" t="s">
        <v>1191</v>
      </c>
      <c r="J494" t="s">
        <v>1192</v>
      </c>
      <c r="K494" s="2">
        <v>45594</v>
      </c>
      <c r="L494" s="2" t="str">
        <f t="shared" si="14"/>
        <v>October</v>
      </c>
      <c r="M494">
        <v>1</v>
      </c>
      <c r="N494">
        <v>6000</v>
      </c>
    </row>
    <row r="495" spans="1:14" x14ac:dyDescent="0.3">
      <c r="A495" t="s">
        <v>505</v>
      </c>
      <c r="B495" t="s">
        <v>1005</v>
      </c>
      <c r="C495" t="s">
        <v>1153</v>
      </c>
      <c r="D495">
        <v>50</v>
      </c>
      <c r="E495" t="str">
        <f t="shared" si="15"/>
        <v>Senior</v>
      </c>
      <c r="F495" t="s">
        <v>1158</v>
      </c>
      <c r="G495" t="s">
        <v>1173</v>
      </c>
      <c r="H495" t="s">
        <v>1185</v>
      </c>
      <c r="I495" t="s">
        <v>1191</v>
      </c>
      <c r="J495" t="s">
        <v>1195</v>
      </c>
      <c r="K495" s="2">
        <v>45778</v>
      </c>
      <c r="L495" s="2" t="str">
        <f t="shared" si="14"/>
        <v>May</v>
      </c>
      <c r="M495">
        <v>4</v>
      </c>
      <c r="N495">
        <v>24000</v>
      </c>
    </row>
    <row r="496" spans="1:14" x14ac:dyDescent="0.3">
      <c r="A496" t="s">
        <v>506</v>
      </c>
      <c r="B496" t="s">
        <v>1006</v>
      </c>
      <c r="C496" t="s">
        <v>1157</v>
      </c>
      <c r="D496">
        <v>42</v>
      </c>
      <c r="E496" t="str">
        <f t="shared" si="15"/>
        <v>Adult</v>
      </c>
      <c r="F496" t="s">
        <v>1159</v>
      </c>
      <c r="G496" t="s">
        <v>1162</v>
      </c>
      <c r="H496" t="s">
        <v>1181</v>
      </c>
      <c r="I496" t="s">
        <v>1186</v>
      </c>
      <c r="J496" t="s">
        <v>1194</v>
      </c>
      <c r="K496" s="2">
        <v>45875</v>
      </c>
      <c r="L496" s="2" t="str">
        <f t="shared" si="14"/>
        <v>August</v>
      </c>
      <c r="M496">
        <v>1</v>
      </c>
      <c r="N496">
        <v>2500</v>
      </c>
    </row>
    <row r="497" spans="1:14" x14ac:dyDescent="0.3">
      <c r="A497" t="s">
        <v>507</v>
      </c>
      <c r="B497" t="s">
        <v>1007</v>
      </c>
      <c r="C497" t="s">
        <v>1117</v>
      </c>
      <c r="D497">
        <v>37</v>
      </c>
      <c r="E497" t="str">
        <f t="shared" si="15"/>
        <v>Adult</v>
      </c>
      <c r="F497" t="s">
        <v>1158</v>
      </c>
      <c r="G497" t="s">
        <v>1178</v>
      </c>
      <c r="H497" t="s">
        <v>1180</v>
      </c>
      <c r="I497" t="s">
        <v>1188</v>
      </c>
      <c r="J497" t="s">
        <v>1192</v>
      </c>
      <c r="K497" s="2">
        <v>45823</v>
      </c>
      <c r="L497" s="2" t="str">
        <f t="shared" si="14"/>
        <v>June</v>
      </c>
      <c r="M497">
        <v>4</v>
      </c>
      <c r="N497">
        <v>120000</v>
      </c>
    </row>
    <row r="498" spans="1:14" x14ac:dyDescent="0.3">
      <c r="A498" t="s">
        <v>508</v>
      </c>
      <c r="B498" t="s">
        <v>1008</v>
      </c>
      <c r="C498" t="s">
        <v>1149</v>
      </c>
      <c r="D498">
        <v>57</v>
      </c>
      <c r="E498" t="str">
        <f t="shared" si="15"/>
        <v>Senior</v>
      </c>
      <c r="F498" t="s">
        <v>1159</v>
      </c>
      <c r="G498" t="s">
        <v>1172</v>
      </c>
      <c r="H498" t="s">
        <v>1185</v>
      </c>
      <c r="I498" t="s">
        <v>1191</v>
      </c>
      <c r="J498" t="s">
        <v>1195</v>
      </c>
      <c r="K498" s="2">
        <v>45673</v>
      </c>
      <c r="L498" s="2" t="str">
        <f t="shared" si="14"/>
        <v>January</v>
      </c>
      <c r="M498">
        <v>1</v>
      </c>
      <c r="N498">
        <v>6000</v>
      </c>
    </row>
    <row r="499" spans="1:14" x14ac:dyDescent="0.3">
      <c r="A499" t="s">
        <v>509</v>
      </c>
      <c r="B499" t="s">
        <v>1009</v>
      </c>
      <c r="C499" t="s">
        <v>1116</v>
      </c>
      <c r="D499">
        <v>29</v>
      </c>
      <c r="E499" t="str">
        <f t="shared" si="15"/>
        <v>Teenager</v>
      </c>
      <c r="F499" t="s">
        <v>1159</v>
      </c>
      <c r="G499" t="s">
        <v>1176</v>
      </c>
      <c r="H499" t="s">
        <v>1179</v>
      </c>
      <c r="I499" t="s">
        <v>1188</v>
      </c>
      <c r="J499" t="s">
        <v>1193</v>
      </c>
      <c r="K499" s="2">
        <v>45847</v>
      </c>
      <c r="L499" s="2" t="str">
        <f t="shared" si="14"/>
        <v>July</v>
      </c>
      <c r="M499">
        <v>2</v>
      </c>
      <c r="N499">
        <v>60000</v>
      </c>
    </row>
    <row r="500" spans="1:14" x14ac:dyDescent="0.3">
      <c r="A500" t="s">
        <v>510</v>
      </c>
      <c r="B500" t="s">
        <v>1010</v>
      </c>
      <c r="C500" t="s">
        <v>1096</v>
      </c>
      <c r="D500">
        <v>30</v>
      </c>
      <c r="E500" t="str">
        <f t="shared" si="15"/>
        <v>Adult</v>
      </c>
      <c r="F500" t="s">
        <v>1158</v>
      </c>
      <c r="G500" t="s">
        <v>1175</v>
      </c>
      <c r="H500" t="s">
        <v>1183</v>
      </c>
      <c r="I500" t="s">
        <v>1191</v>
      </c>
      <c r="J500" t="s">
        <v>1195</v>
      </c>
      <c r="K500" s="2">
        <v>45883</v>
      </c>
      <c r="L500" s="2" t="str">
        <f t="shared" si="14"/>
        <v>August</v>
      </c>
      <c r="M500">
        <v>4</v>
      </c>
      <c r="N500">
        <v>24000</v>
      </c>
    </row>
    <row r="501" spans="1:14" x14ac:dyDescent="0.3">
      <c r="A501" t="s">
        <v>511</v>
      </c>
      <c r="B501" t="s">
        <v>1011</v>
      </c>
      <c r="C501" t="s">
        <v>1028</v>
      </c>
      <c r="D501">
        <v>22</v>
      </c>
      <c r="E501" t="str">
        <f t="shared" si="15"/>
        <v>Teenager</v>
      </c>
      <c r="F501" t="s">
        <v>1159</v>
      </c>
      <c r="G501" t="s">
        <v>1168</v>
      </c>
      <c r="H501" t="s">
        <v>1185</v>
      </c>
      <c r="I501" t="s">
        <v>1187</v>
      </c>
      <c r="J501" t="s">
        <v>1195</v>
      </c>
      <c r="K501" s="2">
        <v>45830</v>
      </c>
      <c r="L501" s="2" t="str">
        <f t="shared" si="14"/>
        <v>June</v>
      </c>
      <c r="M501">
        <v>5</v>
      </c>
      <c r="N501">
        <v>275000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dashboard</vt:lpstr>
      <vt:lpstr>Sheet6</vt:lpstr>
      <vt:lpstr>Sheet5</vt:lpstr>
      <vt:lpstr>Sheet7</vt:lpstr>
      <vt:lpstr>Sheet8</vt:lpstr>
      <vt:lpstr>Sheet9</vt:lpstr>
      <vt:lpstr>Sheet10</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SAHIL CHAVHAN</dc:creator>
  <cp:lastModifiedBy>SAHIL CHAVHAN</cp:lastModifiedBy>
  <dcterms:created xsi:type="dcterms:W3CDTF">2025-10-20T05:53:27Z</dcterms:created>
  <dcterms:modified xsi:type="dcterms:W3CDTF">2025-11-04T14:53:38Z</dcterms:modified>
</cp:coreProperties>
</file>